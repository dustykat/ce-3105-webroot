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clevel\Desktop\"/>
    </mc:Choice>
  </mc:AlternateContent>
  <xr:revisionPtr revIDLastSave="0" documentId="13_ncr:1_{6DCB3F65-992D-4D70-B6AC-A22416DD396A}" xr6:coauthVersionLast="47" xr6:coauthVersionMax="47" xr10:uidLastSave="{00000000-0000-0000-0000-000000000000}"/>
  <bookViews>
    <workbookView xWindow="390" yWindow="390" windowWidth="25710" windowHeight="14655" xr2:uid="{00000000-000D-0000-FFFF-FFFF00000000}"/>
  </bookViews>
  <sheets>
    <sheet name="UN_DITCH" sheetId="1" r:id="rId1"/>
  </sheets>
  <calcPr calcId="191029" calcMode="manual" iterate="1" iterateDelta="1E-8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1" l="1"/>
  <c r="B13" i="1"/>
  <c r="F9" i="1"/>
  <c r="Q22" i="1"/>
  <c r="B22" i="1"/>
  <c r="B23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H9" i="1"/>
  <c r="Q23" i="1"/>
  <c r="C23" i="1"/>
  <c r="C22" i="1"/>
  <c r="D23" i="1"/>
  <c r="D22" i="1"/>
  <c r="E23" i="1"/>
  <c r="E22" i="1"/>
  <c r="F23" i="1"/>
  <c r="F22" i="1"/>
  <c r="G23" i="1"/>
  <c r="G22" i="1"/>
  <c r="H23" i="1"/>
  <c r="H22" i="1"/>
  <c r="I23" i="1"/>
  <c r="I22" i="1"/>
  <c r="J23" i="1"/>
  <c r="J22" i="1"/>
  <c r="K23" i="1"/>
  <c r="K22" i="1"/>
  <c r="L23" i="1"/>
  <c r="L22" i="1"/>
  <c r="M23" i="1"/>
  <c r="M22" i="1"/>
  <c r="N23" i="1"/>
  <c r="N22" i="1"/>
  <c r="O23" i="1"/>
  <c r="O22" i="1"/>
  <c r="P23" i="1"/>
  <c r="P22" i="1"/>
</calcChain>
</file>

<file path=xl/sharedStrings.xml><?xml version="1.0" encoding="utf-8"?>
<sst xmlns="http://schemas.openxmlformats.org/spreadsheetml/2006/main" count="25" uniqueCount="25">
  <si>
    <t>nx=</t>
  </si>
  <si>
    <t>width=</t>
  </si>
  <si>
    <t>Flows valid when</t>
  </si>
  <si>
    <t>K=</t>
  </si>
  <si>
    <t>cm/sec</t>
  </si>
  <si>
    <t>ft/sec</t>
  </si>
  <si>
    <t>ft/day</t>
  </si>
  <si>
    <t>x-&gt;</t>
  </si>
  <si>
    <t>h^2</t>
  </si>
  <si>
    <t>h1 (m)=</t>
  </si>
  <si>
    <t>h2 (m)=</t>
  </si>
  <si>
    <t>L (m)=</t>
  </si>
  <si>
    <t>N =</t>
  </si>
  <si>
    <t xml:space="preserve">  N=0</t>
  </si>
  <si>
    <t>Q(CMS)=</t>
  </si>
  <si>
    <t>m/sec</t>
  </si>
  <si>
    <t>CALCULATED VALUES</t>
  </si>
  <si>
    <t>Port ID</t>
  </si>
  <si>
    <t>w(future use)</t>
  </si>
  <si>
    <t>OBSERVED VALUES</t>
  </si>
  <si>
    <t>h_obs</t>
  </si>
  <si>
    <t>h_calc</t>
  </si>
  <si>
    <t>UNCONFINED AQUIFER BETWEEN TWO DITCHES</t>
  </si>
  <si>
    <t>INPUTS</t>
  </si>
  <si>
    <t>COMPUTED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</si>
</sst>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MS Sans Serif"/>
    </font>
    <font>
      <b/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2" borderId="0" xfId="0" applyNumberFormat="1" applyFill="1"/>
    <xf numFmtId="0" fontId="1" fillId="3" borderId="0" xfId="0" applyFont="1" applyFill="1"/>
    <xf numFmtId="0" fontId="0" fillId="3" borderId="0" xfId="0" applyFill="1"/>
    <xf numFmtId="11" fontId="0" fillId="3" borderId="0" xfId="0" applyNumberFormat="1" applyFill="1"/>
    <xf numFmtId="164" fontId="0" fillId="2" borderId="0" xfId="0" applyNumberFormat="1" applyFill="1"/>
    <xf numFmtId="164" fontId="0" fillId="3" borderId="0" xfId="0" applyNumberFormat="1" applyFill="1"/>
    <xf numFmtId="164" fontId="1" fillId="3" borderId="0" xfId="0" applyNumberFormat="1" applyFont="1" applyFill="1"/>
    <xf numFmtId="164" fontId="1" fillId="2" borderId="0" xfId="0" applyNumberFormat="1" applyFont="1" applyFill="1"/>
    <xf numFmtId="1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306997705559301E-2"/>
          <c:y val="0.21893459496550999"/>
          <c:w val="0.89108997050004901"/>
          <c:h val="0.58579797031312097"/>
        </c:manualLayout>
      </c:layout>
      <c:scatterChart>
        <c:scatterStyle val="lineMarker"/>
        <c:varyColors val="0"/>
        <c:ser>
          <c:idx val="1"/>
          <c:order val="0"/>
          <c:tx>
            <c:strRef>
              <c:f>UN_DITCH!$A$20</c:f>
              <c:strCache>
                <c:ptCount val="1"/>
                <c:pt idx="0">
                  <c:v>h_obs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0"/>
            <c:spPr>
              <a:noFill/>
            </c:spPr>
          </c:marker>
          <c:xVal>
            <c:numRef>
              <c:f>UN_DITCH!$B$18:$Q$18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</c:numCache>
            </c:numRef>
          </c:xVal>
          <c:yVal>
            <c:numRef>
              <c:f>UN_DITCH!$B$20:$Q$20</c:f>
              <c:numCache>
                <c:formatCode>0.000</c:formatCode>
                <c:ptCount val="16"/>
                <c:pt idx="0">
                  <c:v>0.43</c:v>
                </c:pt>
                <c:pt idx="1">
                  <c:v>0.39640238571000008</c:v>
                </c:pt>
                <c:pt idx="2">
                  <c:v>0.39640238571000008</c:v>
                </c:pt>
                <c:pt idx="3">
                  <c:v>0.39640238571000008</c:v>
                </c:pt>
                <c:pt idx="4">
                  <c:v>0.39640238571000008</c:v>
                </c:pt>
                <c:pt idx="5">
                  <c:v>0.39640238571000008</c:v>
                </c:pt>
                <c:pt idx="6">
                  <c:v>0.39640238571000008</c:v>
                </c:pt>
                <c:pt idx="7">
                  <c:v>0.39640238571000008</c:v>
                </c:pt>
                <c:pt idx="8">
                  <c:v>0.39640238571000008</c:v>
                </c:pt>
                <c:pt idx="9">
                  <c:v>0.39640238571000008</c:v>
                </c:pt>
                <c:pt idx="10">
                  <c:v>0.39640238571000008</c:v>
                </c:pt>
                <c:pt idx="11">
                  <c:v>0.39640238571000008</c:v>
                </c:pt>
                <c:pt idx="12">
                  <c:v>0.39640238571000008</c:v>
                </c:pt>
                <c:pt idx="13">
                  <c:v>0.39640238571000008</c:v>
                </c:pt>
                <c:pt idx="14">
                  <c:v>0.39640238571000008</c:v>
                </c:pt>
                <c:pt idx="15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7-4114-B991-13FF7D4317E1}"/>
            </c:ext>
          </c:extLst>
        </c:ser>
        <c:ser>
          <c:idx val="0"/>
          <c:order val="1"/>
          <c:tx>
            <c:strRef>
              <c:f>UN_DITCH!$A$22</c:f>
              <c:strCache>
                <c:ptCount val="1"/>
                <c:pt idx="0">
                  <c:v>h_calc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UN_DITCH!$B$18:$Q$18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</c:numCache>
            </c:numRef>
          </c:xVal>
          <c:yVal>
            <c:numRef>
              <c:f>UN_DITCH!$B$22:$Q$22</c:f>
              <c:numCache>
                <c:formatCode>0.000</c:formatCode>
                <c:ptCount val="16"/>
                <c:pt idx="0">
                  <c:v>0.43</c:v>
                </c:pt>
                <c:pt idx="1">
                  <c:v>0.42684891940826086</c:v>
                </c:pt>
                <c:pt idx="2">
                  <c:v>0.42367440328629719</c:v>
                </c:pt>
                <c:pt idx="3">
                  <c:v>0.42047592083257274</c:v>
                </c:pt>
                <c:pt idx="4">
                  <c:v>0.41725292090050126</c:v>
                </c:pt>
                <c:pt idx="5">
                  <c:v>0.41400483088968904</c:v>
                </c:pt>
                <c:pt idx="6">
                  <c:v>0.41073105555825701</c:v>
                </c:pt>
                <c:pt idx="7">
                  <c:v>0.40743097574926723</c:v>
                </c:pt>
                <c:pt idx="8">
                  <c:v>0.40410394702353503</c:v>
                </c:pt>
                <c:pt idx="9">
                  <c:v>0.40074929819027755</c:v>
                </c:pt>
                <c:pt idx="10">
                  <c:v>0.39736632972611052</c:v>
                </c:pt>
                <c:pt idx="11">
                  <c:v>0.39395431207184417</c:v>
                </c:pt>
                <c:pt idx="12">
                  <c:v>0.39051248379533271</c:v>
                </c:pt>
                <c:pt idx="13">
                  <c:v>0.38704004960727256</c:v>
                </c:pt>
                <c:pt idx="14">
                  <c:v>0.38353617821530217</c:v>
                </c:pt>
                <c:pt idx="15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17-4CBC-BB98-C1CBDC71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0111688"/>
        <c:axId val="-2059929640"/>
      </c:scatterChart>
      <c:valAx>
        <c:axId val="-20601116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en-US"/>
          </a:p>
        </c:txPr>
        <c:crossAx val="-2059929640"/>
        <c:crosses val="autoZero"/>
        <c:crossBetween val="midCat"/>
      </c:valAx>
      <c:valAx>
        <c:axId val="-2059929640"/>
        <c:scaling>
          <c:orientation val="minMax"/>
          <c:min val="0"/>
        </c:scaling>
        <c:delete val="0"/>
        <c:axPos val="l"/>
        <c:numFmt formatCode="0.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en-US"/>
          </a:p>
        </c:txPr>
        <c:crossAx val="-206011168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397022</xdr:colOff>
      <xdr:row>0</xdr:row>
      <xdr:rowOff>104775</xdr:rowOff>
    </xdr:from>
    <xdr:to>
      <xdr:col>17</xdr:col>
      <xdr:colOff>98425</xdr:colOff>
      <xdr:row>14</xdr:row>
      <xdr:rowOff>68015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5283347" y="104775"/>
          <a:ext cx="4930628" cy="22301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37517</xdr:colOff>
      <xdr:row>5</xdr:row>
      <xdr:rowOff>42515</xdr:rowOff>
    </xdr:from>
    <xdr:to>
      <xdr:col>15</xdr:col>
      <xdr:colOff>390461</xdr:colOff>
      <xdr:row>12</xdr:row>
      <xdr:rowOff>55169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>
          <a:off x="6085892" y="852140"/>
          <a:ext cx="3258069" cy="11461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37517</xdr:colOff>
      <xdr:row>7</xdr:row>
      <xdr:rowOff>30137</xdr:rowOff>
    </xdr:from>
    <xdr:to>
      <xdr:col>15</xdr:col>
      <xdr:colOff>371117</xdr:colOff>
      <xdr:row>8</xdr:row>
      <xdr:rowOff>142274</xdr:rowOff>
    </xdr:to>
    <xdr:sp macro="" textlink="">
      <xdr:nvSpPr>
        <xdr:cNvPr id="1027" name="Arc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6085892" y="1163612"/>
          <a:ext cx="3238725" cy="274062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1600" fill="none" extrusionOk="0">
              <a:moveTo>
                <a:pt x="0" y="-1"/>
              </a:moveTo>
              <a:cubicBezTo>
                <a:pt x="11929" y="-1"/>
                <a:pt x="21600" y="9670"/>
                <a:pt x="21600" y="21600"/>
              </a:cubicBezTo>
            </a:path>
            <a:path w="21600" h="21600" stroke="0" extrusionOk="0">
              <a:moveTo>
                <a:pt x="0" y="-1"/>
              </a:moveTo>
              <a:cubicBezTo>
                <a:pt x="11929" y="-1"/>
                <a:pt x="21600" y="9670"/>
                <a:pt x="21600" y="21600"/>
              </a:cubicBezTo>
              <a:lnTo>
                <a:pt x="0" y="21600"/>
              </a:lnTo>
              <a:close/>
            </a:path>
          </a:pathLst>
        </a:custGeom>
        <a:noFill/>
        <a:ln w="38100" cap="flat">
          <a:solidFill>
            <a:srgbClr val="0000FF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164204</xdr:colOff>
      <xdr:row>4</xdr:row>
      <xdr:rowOff>36091</xdr:rowOff>
    </xdr:from>
    <xdr:to>
      <xdr:col>11</xdr:col>
      <xdr:colOff>164204</xdr:colOff>
      <xdr:row>6</xdr:row>
      <xdr:rowOff>73595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6793604" y="683791"/>
          <a:ext cx="0" cy="361354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533394</xdr:colOff>
      <xdr:row>4</xdr:row>
      <xdr:rowOff>69818</xdr:rowOff>
    </xdr:from>
    <xdr:to>
      <xdr:col>11</xdr:col>
      <xdr:colOff>533394</xdr:colOff>
      <xdr:row>6</xdr:row>
      <xdr:rowOff>82381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 flipH="1">
          <a:off x="7162794" y="717518"/>
          <a:ext cx="0" cy="336413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334061</xdr:colOff>
      <xdr:row>4</xdr:row>
      <xdr:rowOff>50829</xdr:rowOff>
    </xdr:from>
    <xdr:to>
      <xdr:col>12</xdr:col>
      <xdr:colOff>341610</xdr:colOff>
      <xdr:row>6</xdr:row>
      <xdr:rowOff>96835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7544486" y="698529"/>
          <a:ext cx="7549" cy="369856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13</xdr:col>
      <xdr:colOff>162094</xdr:colOff>
      <xdr:row>4</xdr:row>
      <xdr:rowOff>50829</xdr:rowOff>
    </xdr:from>
    <xdr:to>
      <xdr:col>13</xdr:col>
      <xdr:colOff>167756</xdr:colOff>
      <xdr:row>6</xdr:row>
      <xdr:rowOff>120925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7953544" y="698529"/>
          <a:ext cx="5662" cy="393946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13</xdr:col>
      <xdr:colOff>571387</xdr:colOff>
      <xdr:row>4</xdr:row>
      <xdr:rowOff>60465</xdr:rowOff>
    </xdr:from>
    <xdr:to>
      <xdr:col>13</xdr:col>
      <xdr:colOff>574926</xdr:colOff>
      <xdr:row>6</xdr:row>
      <xdr:rowOff>126310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8362837" y="708165"/>
          <a:ext cx="3539" cy="38969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327443</xdr:colOff>
      <xdr:row>4</xdr:row>
      <xdr:rowOff>55080</xdr:rowOff>
    </xdr:from>
    <xdr:to>
      <xdr:col>10</xdr:col>
      <xdr:colOff>327443</xdr:colOff>
      <xdr:row>6</xdr:row>
      <xdr:rowOff>92584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6375818" y="702780"/>
          <a:ext cx="0" cy="361354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229785</xdr:colOff>
      <xdr:row>2</xdr:row>
      <xdr:rowOff>154749</xdr:rowOff>
    </xdr:from>
    <xdr:to>
      <xdr:col>11</xdr:col>
      <xdr:colOff>529619</xdr:colOff>
      <xdr:row>4</xdr:row>
      <xdr:rowOff>17669</xdr:rowOff>
    </xdr:to>
    <xdr:sp macro="" textlink="">
      <xdr:nvSpPr>
        <xdr:cNvPr id="1034" name="Text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6859185" y="478599"/>
          <a:ext cx="299834" cy="1867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13</xdr:col>
      <xdr:colOff>34705</xdr:colOff>
      <xdr:row>2</xdr:row>
      <xdr:rowOff>129808</xdr:rowOff>
    </xdr:from>
    <xdr:to>
      <xdr:col>13</xdr:col>
      <xdr:colOff>334303</xdr:colOff>
      <xdr:row>4</xdr:row>
      <xdr:rowOff>17669</xdr:rowOff>
    </xdr:to>
    <xdr:sp macro="" textlink="">
      <xdr:nvSpPr>
        <xdr:cNvPr id="1035" name="Text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7826155" y="453658"/>
          <a:ext cx="299598" cy="21171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14</xdr:col>
      <xdr:colOff>4752</xdr:colOff>
      <xdr:row>2</xdr:row>
      <xdr:rowOff>92398</xdr:rowOff>
    </xdr:from>
    <xdr:to>
      <xdr:col>14</xdr:col>
      <xdr:colOff>333366</xdr:colOff>
      <xdr:row>3</xdr:row>
      <xdr:rowOff>154654</xdr:rowOff>
    </xdr:to>
    <xdr:sp macro="" textlink="">
      <xdr:nvSpPr>
        <xdr:cNvPr id="1036" name="Text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8377227" y="416248"/>
          <a:ext cx="328614" cy="22418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12</xdr:col>
      <xdr:colOff>370390</xdr:colOff>
      <xdr:row>2</xdr:row>
      <xdr:rowOff>5956</xdr:rowOff>
    </xdr:from>
    <xdr:to>
      <xdr:col>13</xdr:col>
      <xdr:colOff>118215</xdr:colOff>
      <xdr:row>3</xdr:row>
      <xdr:rowOff>55742</xdr:rowOff>
    </xdr:to>
    <xdr:sp macro="" textlink="">
      <xdr:nvSpPr>
        <xdr:cNvPr id="1037" name="Text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7580815" y="329806"/>
          <a:ext cx="328850" cy="21171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rPr>
            <a:t>N</a:t>
          </a: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10</xdr:col>
      <xdr:colOff>250067</xdr:colOff>
      <xdr:row>2</xdr:row>
      <xdr:rowOff>154749</xdr:rowOff>
    </xdr:from>
    <xdr:to>
      <xdr:col>11</xdr:col>
      <xdr:colOff>7564</xdr:colOff>
      <xdr:row>4</xdr:row>
      <xdr:rowOff>55080</xdr:rowOff>
    </xdr:to>
    <xdr:sp macro="" textlink="">
      <xdr:nvSpPr>
        <xdr:cNvPr id="1038" name="Text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6298442" y="478599"/>
          <a:ext cx="338522" cy="22418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14</xdr:col>
      <xdr:colOff>507463</xdr:colOff>
      <xdr:row>2</xdr:row>
      <xdr:rowOff>92398</xdr:rowOff>
    </xdr:from>
    <xdr:to>
      <xdr:col>15</xdr:col>
      <xdr:colOff>264724</xdr:colOff>
      <xdr:row>3</xdr:row>
      <xdr:rowOff>154654</xdr:rowOff>
    </xdr:to>
    <xdr:sp macro="" textlink="">
      <xdr:nvSpPr>
        <xdr:cNvPr id="1039" name="Text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8879938" y="416248"/>
          <a:ext cx="338286" cy="22418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MS Sans Serif"/>
            <a:ea typeface="MS Sans Serif"/>
            <a:cs typeface="MS Sans Serif"/>
          </a:endParaRPr>
        </a:p>
      </xdr:txBody>
    </xdr:sp>
    <xdr:clientData/>
  </xdr:twoCellAnchor>
  <xdr:twoCellAnchor>
    <xdr:from>
      <xdr:col>9</xdr:col>
      <xdr:colOff>338052</xdr:colOff>
      <xdr:row>7</xdr:row>
      <xdr:rowOff>30137</xdr:rowOff>
    </xdr:from>
    <xdr:to>
      <xdr:col>10</xdr:col>
      <xdr:colOff>18173</xdr:colOff>
      <xdr:row>12</xdr:row>
      <xdr:rowOff>55168</xdr:rowOff>
    </xdr:to>
    <xdr:sp macro="" textlink="">
      <xdr:nvSpPr>
        <xdr:cNvPr id="1040" name="Rectangl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5805402" y="1163612"/>
          <a:ext cx="261146" cy="83465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1" cap="flat">
          <a:solidFill>
            <a:srgbClr val="0000FF"/>
          </a:solidFill>
          <a:prstDash val="solid"/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15</xdr:col>
      <xdr:colOff>390461</xdr:colOff>
      <xdr:row>8</xdr:row>
      <xdr:rowOff>142274</xdr:rowOff>
    </xdr:from>
    <xdr:to>
      <xdr:col>16</xdr:col>
      <xdr:colOff>89690</xdr:colOff>
      <xdr:row>12</xdr:row>
      <xdr:rowOff>55168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9343961" y="1437674"/>
          <a:ext cx="280254" cy="5605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460977</xdr:colOff>
      <xdr:row>13</xdr:row>
      <xdr:rowOff>5476</xdr:rowOff>
    </xdr:from>
    <xdr:to>
      <xdr:col>15</xdr:col>
      <xdr:colOff>380789</xdr:colOff>
      <xdr:row>13</xdr:row>
      <xdr:rowOff>5476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ShapeType="1"/>
        </xdr:cNvSpPr>
      </xdr:nvSpPr>
      <xdr:spPr bwMode="auto">
        <a:xfrm flipV="1">
          <a:off x="7671402" y="2110501"/>
          <a:ext cx="1662887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37517</xdr:colOff>
      <xdr:row>13</xdr:row>
      <xdr:rowOff>5476</xdr:rowOff>
    </xdr:from>
    <xdr:to>
      <xdr:col>12</xdr:col>
      <xdr:colOff>219176</xdr:colOff>
      <xdr:row>13</xdr:row>
      <xdr:rowOff>5476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ShapeType="1"/>
        </xdr:cNvSpPr>
      </xdr:nvSpPr>
      <xdr:spPr bwMode="auto">
        <a:xfrm flipH="1">
          <a:off x="6085892" y="2110501"/>
          <a:ext cx="1343709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277208</xdr:colOff>
      <xdr:row>12</xdr:row>
      <xdr:rowOff>80109</xdr:rowOff>
    </xdr:from>
    <xdr:to>
      <xdr:col>12</xdr:col>
      <xdr:colOff>480321</xdr:colOff>
      <xdr:row>13</xdr:row>
      <xdr:rowOff>130178</xdr:rowOff>
    </xdr:to>
    <xdr:sp macro="" textlink="">
      <xdr:nvSpPr>
        <xdr:cNvPr id="1051" name="Text 2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7487633" y="2023209"/>
          <a:ext cx="203113" cy="2119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rPr>
            <a:t>L</a:t>
          </a:r>
        </a:p>
      </xdr:txBody>
    </xdr:sp>
    <xdr:clientData/>
  </xdr:twoCellAnchor>
  <xdr:twoCellAnchor>
    <xdr:from>
      <xdr:col>0</xdr:col>
      <xdr:colOff>120649</xdr:colOff>
      <xdr:row>23</xdr:row>
      <xdr:rowOff>50621</xdr:rowOff>
    </xdr:from>
    <xdr:to>
      <xdr:col>16</xdr:col>
      <xdr:colOff>285750</xdr:colOff>
      <xdr:row>43</xdr:row>
      <xdr:rowOff>152400</xdr:rowOff>
    </xdr:to>
    <xdr:graphicFrame macro="">
      <xdr:nvGraphicFramePr>
        <xdr:cNvPr id="1055" name="Chart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158750</xdr:colOff>
      <xdr:row>4</xdr:row>
      <xdr:rowOff>82550</xdr:rowOff>
    </xdr:from>
    <xdr:to>
      <xdr:col>15</xdr:col>
      <xdr:colOff>162289</xdr:colOff>
      <xdr:row>6</xdr:row>
      <xdr:rowOff>148395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A8A12C46-80B0-4B91-81C1-06CE297662B7}"/>
            </a:ext>
          </a:extLst>
        </xdr:cNvPr>
        <xdr:cNvSpPr>
          <a:spLocks noChangeShapeType="1"/>
        </xdr:cNvSpPr>
      </xdr:nvSpPr>
      <xdr:spPr bwMode="auto">
        <a:xfrm>
          <a:off x="9112250" y="730250"/>
          <a:ext cx="3539" cy="38969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14</xdr:col>
      <xdr:colOff>377825</xdr:colOff>
      <xdr:row>4</xdr:row>
      <xdr:rowOff>63500</xdr:rowOff>
    </xdr:from>
    <xdr:to>
      <xdr:col>14</xdr:col>
      <xdr:colOff>381364</xdr:colOff>
      <xdr:row>6</xdr:row>
      <xdr:rowOff>129345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38DB2327-A461-4A00-A08A-3FC46C1FACEF}"/>
            </a:ext>
          </a:extLst>
        </xdr:cNvPr>
        <xdr:cNvSpPr>
          <a:spLocks noChangeShapeType="1"/>
        </xdr:cNvSpPr>
      </xdr:nvSpPr>
      <xdr:spPr bwMode="auto">
        <a:xfrm>
          <a:off x="8750300" y="711200"/>
          <a:ext cx="3539" cy="38969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A10" workbookViewId="0">
      <selection activeCell="U33" sqref="U33"/>
    </sheetView>
  </sheetViews>
  <sheetFormatPr defaultColWidth="8.7109375" defaultRowHeight="12.75" x14ac:dyDescent="0.2"/>
  <cols>
    <col min="1" max="1" width="12" customWidth="1"/>
    <col min="2" max="2" width="12.28515625" bestFit="1" customWidth="1"/>
    <col min="3" max="7" width="9.28515625" customWidth="1"/>
  </cols>
  <sheetData>
    <row r="1" spans="1:17" x14ac:dyDescent="0.2">
      <c r="A1" s="2" t="s">
        <v>22</v>
      </c>
    </row>
    <row r="2" spans="1:17" x14ac:dyDescent="0.2">
      <c r="A2" s="3" t="s">
        <v>23</v>
      </c>
      <c r="B2" s="4"/>
      <c r="C2" s="4"/>
      <c r="D2" s="4"/>
      <c r="E2" s="4"/>
      <c r="F2" s="4"/>
      <c r="G2" s="4"/>
      <c r="H2" s="4"/>
      <c r="I2" s="4"/>
    </row>
    <row r="3" spans="1:17" x14ac:dyDescent="0.2">
      <c r="A3" s="4" t="s">
        <v>9</v>
      </c>
      <c r="B3" s="4">
        <v>0.43</v>
      </c>
      <c r="C3" s="4"/>
      <c r="D3" s="4"/>
      <c r="E3" s="4"/>
      <c r="F3" s="4"/>
      <c r="G3" s="4"/>
      <c r="H3" s="4"/>
      <c r="I3" s="4"/>
    </row>
    <row r="4" spans="1:17" x14ac:dyDescent="0.2">
      <c r="A4" s="4" t="s">
        <v>10</v>
      </c>
      <c r="B4" s="4">
        <v>0.38</v>
      </c>
      <c r="C4" s="4"/>
      <c r="D4" s="4"/>
      <c r="E4" s="4"/>
      <c r="F4" s="4"/>
      <c r="G4" s="4"/>
      <c r="H4" s="4"/>
      <c r="I4" s="4"/>
    </row>
    <row r="5" spans="1:17" x14ac:dyDescent="0.2">
      <c r="A5" s="4" t="s">
        <v>11</v>
      </c>
      <c r="B5" s="4">
        <v>1.5</v>
      </c>
      <c r="C5" s="4"/>
      <c r="D5" s="4"/>
      <c r="E5" s="4"/>
      <c r="F5" s="4"/>
      <c r="G5" s="4"/>
      <c r="H5" s="4"/>
      <c r="I5" s="4"/>
    </row>
    <row r="6" spans="1:17" x14ac:dyDescent="0.2">
      <c r="A6" s="4" t="s">
        <v>0</v>
      </c>
      <c r="B6" s="4">
        <v>15</v>
      </c>
      <c r="C6" s="4"/>
      <c r="D6" s="4"/>
      <c r="E6" s="4"/>
      <c r="F6" s="4"/>
      <c r="G6" s="4"/>
      <c r="H6" s="4"/>
      <c r="I6" s="4"/>
    </row>
    <row r="7" spans="1:17" x14ac:dyDescent="0.2">
      <c r="A7" s="4" t="s">
        <v>1</v>
      </c>
      <c r="B7" s="4">
        <v>100</v>
      </c>
      <c r="C7" s="4"/>
      <c r="D7" s="4"/>
      <c r="E7" s="4"/>
      <c r="F7" s="4"/>
      <c r="G7" s="4"/>
      <c r="H7" s="4"/>
      <c r="I7" s="4"/>
    </row>
    <row r="8" spans="1:17" x14ac:dyDescent="0.2">
      <c r="A8" s="4" t="s">
        <v>12</v>
      </c>
      <c r="B8" s="4">
        <v>0</v>
      </c>
      <c r="C8" s="4"/>
      <c r="D8" s="4"/>
      <c r="E8" s="4"/>
      <c r="F8" s="4"/>
      <c r="G8" s="4"/>
      <c r="H8" s="4"/>
      <c r="I8" s="4"/>
    </row>
    <row r="9" spans="1:17" x14ac:dyDescent="0.2">
      <c r="A9" s="4" t="s">
        <v>3</v>
      </c>
      <c r="B9" s="13">
        <v>1.6999999999999999E-3</v>
      </c>
      <c r="C9" s="4" t="s">
        <v>4</v>
      </c>
      <c r="D9" s="5">
        <f>B9/100</f>
        <v>1.7E-5</v>
      </c>
      <c r="E9" s="4" t="s">
        <v>15</v>
      </c>
      <c r="F9" s="4">
        <f>(B9/2.54)*(1/12)</f>
        <v>5.5774278215223088E-5</v>
      </c>
      <c r="G9" s="4" t="s">
        <v>5</v>
      </c>
      <c r="H9" s="4">
        <f>F9*60*60*24</f>
        <v>4.818897637795275</v>
      </c>
      <c r="I9" s="4" t="s">
        <v>6</v>
      </c>
    </row>
    <row r="10" spans="1:17" x14ac:dyDescent="0.2">
      <c r="A10" s="6" t="s">
        <v>24</v>
      </c>
      <c r="B10" s="7"/>
      <c r="C10" s="7"/>
      <c r="D10" s="7"/>
      <c r="E10" s="7"/>
      <c r="F10" s="7"/>
      <c r="G10" s="7"/>
      <c r="H10" s="7"/>
      <c r="I10" s="7"/>
    </row>
    <row r="11" spans="1:17" x14ac:dyDescent="0.2">
      <c r="A11" s="7" t="s">
        <v>2</v>
      </c>
      <c r="B11" s="7"/>
      <c r="C11" s="7"/>
      <c r="D11" s="7"/>
      <c r="E11" s="7"/>
      <c r="F11" s="7"/>
      <c r="G11" s="7"/>
      <c r="H11" s="7"/>
      <c r="I11" s="7"/>
    </row>
    <row r="12" spans="1:17" x14ac:dyDescent="0.2">
      <c r="A12" s="7" t="s">
        <v>13</v>
      </c>
      <c r="B12" s="7"/>
      <c r="C12" s="7"/>
      <c r="D12" s="7"/>
      <c r="E12" s="7"/>
      <c r="F12" s="7"/>
      <c r="G12" s="7"/>
      <c r="H12" s="7"/>
      <c r="I12" s="7"/>
    </row>
    <row r="13" spans="1:17" x14ac:dyDescent="0.2">
      <c r="A13" s="7" t="s">
        <v>14</v>
      </c>
      <c r="B13" s="8">
        <f>(($D$9/(2*$B$5))*($B$3^2-$B$4^2)-B$16*(0.5*$B$5-B16))*$B$7</f>
        <v>2.2949999999999992E-5</v>
      </c>
      <c r="C13" s="7"/>
      <c r="D13" s="7"/>
      <c r="E13" s="7"/>
      <c r="F13" s="7"/>
      <c r="G13" s="7"/>
      <c r="H13" s="7"/>
      <c r="I13" s="7"/>
    </row>
    <row r="16" spans="1:17" x14ac:dyDescent="0.2">
      <c r="A16" s="4" t="s">
        <v>18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 x14ac:dyDescent="0.2">
      <c r="A17" s="4" t="s">
        <v>17</v>
      </c>
      <c r="B17" s="4">
        <v>0</v>
      </c>
      <c r="C17" s="4">
        <v>1</v>
      </c>
      <c r="D17" s="4">
        <v>2</v>
      </c>
      <c r="E17" s="4">
        <v>3</v>
      </c>
      <c r="F17" s="4">
        <v>4</v>
      </c>
      <c r="G17" s="4">
        <v>5</v>
      </c>
      <c r="H17" s="4">
        <v>6</v>
      </c>
      <c r="I17" s="4">
        <v>7</v>
      </c>
      <c r="J17" s="4">
        <v>8</v>
      </c>
      <c r="K17" s="4">
        <v>9</v>
      </c>
      <c r="L17" s="4">
        <v>10</v>
      </c>
      <c r="M17" s="4">
        <v>11</v>
      </c>
      <c r="N17" s="4">
        <v>12</v>
      </c>
      <c r="O17" s="4">
        <v>13</v>
      </c>
      <c r="P17" s="4">
        <v>14</v>
      </c>
      <c r="Q17" s="4">
        <v>15</v>
      </c>
    </row>
    <row r="18" spans="1:17" x14ac:dyDescent="0.2">
      <c r="A18" s="4" t="s">
        <v>7</v>
      </c>
      <c r="B18" s="4">
        <v>0</v>
      </c>
      <c r="C18" s="4">
        <f t="shared" ref="C18:J18" si="0">B18+$B$5/$B$6</f>
        <v>0.1</v>
      </c>
      <c r="D18" s="4">
        <f t="shared" si="0"/>
        <v>0.2</v>
      </c>
      <c r="E18" s="4">
        <f t="shared" si="0"/>
        <v>0.30000000000000004</v>
      </c>
      <c r="F18" s="4">
        <f t="shared" si="0"/>
        <v>0.4</v>
      </c>
      <c r="G18" s="4">
        <f t="shared" si="0"/>
        <v>0.5</v>
      </c>
      <c r="H18" s="4">
        <f t="shared" si="0"/>
        <v>0.6</v>
      </c>
      <c r="I18" s="4">
        <f t="shared" si="0"/>
        <v>0.7</v>
      </c>
      <c r="J18" s="4">
        <f t="shared" si="0"/>
        <v>0.79999999999999993</v>
      </c>
      <c r="K18" s="4">
        <f t="shared" ref="K18" si="1">J18+$B$5/$B$6</f>
        <v>0.89999999999999991</v>
      </c>
      <c r="L18" s="4">
        <f t="shared" ref="L18" si="2">K18+$B$5/$B$6</f>
        <v>0.99999999999999989</v>
      </c>
      <c r="M18" s="4">
        <f t="shared" ref="M18" si="3">L18+$B$5/$B$6</f>
        <v>1.0999999999999999</v>
      </c>
      <c r="N18" s="4">
        <f t="shared" ref="N18" si="4">M18+$B$5/$B$6</f>
        <v>1.2</v>
      </c>
      <c r="O18" s="4">
        <f t="shared" ref="O18" si="5">N18+$B$5/$B$6</f>
        <v>1.3</v>
      </c>
      <c r="P18" s="4">
        <f t="shared" ref="P18" si="6">O18+$B$5/$B$6</f>
        <v>1.4000000000000001</v>
      </c>
      <c r="Q18" s="4">
        <f t="shared" ref="Q18" si="7">P18+$B$5/$B$6</f>
        <v>1.5000000000000002</v>
      </c>
    </row>
    <row r="19" spans="1:17" x14ac:dyDescent="0.2">
      <c r="A19" s="3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s="1" customFormat="1" x14ac:dyDescent="0.2">
      <c r="A20" s="9" t="s">
        <v>20</v>
      </c>
      <c r="B20" s="12">
        <v>0.43</v>
      </c>
      <c r="C20" s="12">
        <v>0.39640238571000008</v>
      </c>
      <c r="D20" s="12">
        <v>0.39640238571000008</v>
      </c>
      <c r="E20" s="12">
        <v>0.39640238571000008</v>
      </c>
      <c r="F20" s="12">
        <v>0.39640238571000008</v>
      </c>
      <c r="G20" s="12">
        <v>0.39640238571000008</v>
      </c>
      <c r="H20" s="12">
        <v>0.39640238571000008</v>
      </c>
      <c r="I20" s="12">
        <v>0.39640238571000008</v>
      </c>
      <c r="J20" s="12">
        <v>0.39640238571000008</v>
      </c>
      <c r="K20" s="12">
        <v>0.39640238571000008</v>
      </c>
      <c r="L20" s="12">
        <v>0.39640238571000008</v>
      </c>
      <c r="M20" s="12">
        <v>0.39640238571000008</v>
      </c>
      <c r="N20" s="12">
        <v>0.39640238571000008</v>
      </c>
      <c r="O20" s="12">
        <v>0.39640238571000008</v>
      </c>
      <c r="P20" s="12">
        <v>0.39640238571000008</v>
      </c>
      <c r="Q20" s="12">
        <v>0.38</v>
      </c>
    </row>
    <row r="21" spans="1:17" x14ac:dyDescent="0.2">
      <c r="A21" s="6" t="s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">
      <c r="A22" s="10" t="s">
        <v>21</v>
      </c>
      <c r="B22" s="11">
        <f>$B$3</f>
        <v>0.43</v>
      </c>
      <c r="C22" s="11">
        <f>SQRT(C23)</f>
        <v>0.42684891940826086</v>
      </c>
      <c r="D22" s="11">
        <f>SQRT(D23)</f>
        <v>0.42367440328629719</v>
      </c>
      <c r="E22" s="11">
        <f>SQRT(E23)</f>
        <v>0.42047592083257274</v>
      </c>
      <c r="F22" s="11">
        <f>SQRT(F23)</f>
        <v>0.41725292090050126</v>
      </c>
      <c r="G22" s="11">
        <f>SQRT(G23)</f>
        <v>0.41400483088968904</v>
      </c>
      <c r="H22" s="11">
        <f>SQRT(H23)</f>
        <v>0.41073105555825701</v>
      </c>
      <c r="I22" s="11">
        <f>SQRT(I23)</f>
        <v>0.40743097574926723</v>
      </c>
      <c r="J22" s="11">
        <f>SQRT(J23)</f>
        <v>0.40410394702353503</v>
      </c>
      <c r="K22" s="11">
        <f>SQRT(K23)</f>
        <v>0.40074929819027755</v>
      </c>
      <c r="L22" s="11">
        <f>SQRT(L23)</f>
        <v>0.39736632972611052</v>
      </c>
      <c r="M22" s="11">
        <f>SQRT(M23)</f>
        <v>0.39395431207184417</v>
      </c>
      <c r="N22" s="11">
        <f>SQRT(N23)</f>
        <v>0.39051248379533271</v>
      </c>
      <c r="O22" s="11">
        <f>SQRT(O23)</f>
        <v>0.38704004960727256</v>
      </c>
      <c r="P22" s="11">
        <f>SQRT(P23)</f>
        <v>0.38353617821530217</v>
      </c>
      <c r="Q22" s="11">
        <f>$B$4</f>
        <v>0.38</v>
      </c>
    </row>
    <row r="23" spans="1:17" s="1" customFormat="1" x14ac:dyDescent="0.2">
      <c r="A23" s="10" t="s">
        <v>8</v>
      </c>
      <c r="B23" s="10">
        <f>B22^2</f>
        <v>0.18489999999999998</v>
      </c>
      <c r="C23" s="10">
        <f>$B$23-($B$23-$Q$23)*C18/$B$5+C16*($B$5-C18)*C18/$H$9</f>
        <v>0.18219999999999997</v>
      </c>
      <c r="D23" s="10">
        <f>$B$23-($B$23-$Q$23)*D18/$B$5+D16*($B$5-D18)*D18/$H$9</f>
        <v>0.17949999999999999</v>
      </c>
      <c r="E23" s="10">
        <f>$B$23-($B$23-$Q$23)*E18/$B$5+E16*($B$5-E18)*E18/$H$9</f>
        <v>0.17679999999999998</v>
      </c>
      <c r="F23" s="10">
        <f>$B$23-($B$23-$Q$23)*F18/$B$5+F16*($B$5-F18)*F18/$H$9</f>
        <v>0.17409999999999998</v>
      </c>
      <c r="G23" s="10">
        <f>$B$23-($B$23-$Q$23)*G18/$B$5+G16*($B$5-G18)*G18/$H$9</f>
        <v>0.1714</v>
      </c>
      <c r="H23" s="10">
        <f>$B$23-($B$23-$Q$23)*H18/$B$5+H16*($B$5-H18)*H18/$H$9</f>
        <v>0.16869999999999999</v>
      </c>
      <c r="I23" s="10">
        <f>$B$23-($B$23-$Q$23)*I18/$B$5+I16*($B$5-I18)*I18/$H$9</f>
        <v>0.16599999999999998</v>
      </c>
      <c r="J23" s="10">
        <f>$B$23-($B$23-$Q$23)*J18/$B$5+J16*($B$5-J18)*J18/$H$9</f>
        <v>0.1633</v>
      </c>
      <c r="K23" s="10">
        <f>$B$23-($B$23-$Q$23)*K18/$B$5+K16*($B$5-K18)*K18/$H$9</f>
        <v>0.16059999999999999</v>
      </c>
      <c r="L23" s="10">
        <f>$B$23-($B$23-$Q$23)*L18/$B$5+L16*($B$5-L18)*L18/$H$9</f>
        <v>0.15789999999999998</v>
      </c>
      <c r="M23" s="10">
        <f>$B$23-($B$23-$Q$23)*M18/$B$5+M16*($B$5-M18)*M18/$H$9</f>
        <v>0.1552</v>
      </c>
      <c r="N23" s="10">
        <f>$B$23-($B$23-$Q$23)*N18/$B$5+N16*($B$5-N18)*N18/$H$9</f>
        <v>0.1525</v>
      </c>
      <c r="O23" s="10">
        <f>$B$23-($B$23-$Q$23)*O18/$B$5+O16*($B$5-O18)*O18/$H$9</f>
        <v>0.14979999999999999</v>
      </c>
      <c r="P23" s="10">
        <f>$B$23-($B$23-$Q$23)*P18/$B$5+P16*($B$5-P18)*P18/$H$9</f>
        <v>0.14710000000000001</v>
      </c>
      <c r="Q23" s="10">
        <f>Q22^2</f>
        <v>0.1444</v>
      </c>
    </row>
    <row r="24" spans="1:17" s="1" customFormat="1" x14ac:dyDescent="0.2"/>
    <row r="25" spans="1:17" s="1" customFormat="1" ht="13.5" customHeight="1" x14ac:dyDescent="0.2"/>
  </sheetData>
  <printOptions gridLines="1" gridLinesSet="0"/>
  <pageMargins left="0.75" right="0.75" top="1" bottom="1" header="0.5" footer="0.5"/>
  <headerFooter>
    <oddHeader>&amp;F</oddHeader>
    <oddFooter>Page 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UN_DITCH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 #1</dc:creator>
  <cp:lastModifiedBy>Cleveland, Theodore</cp:lastModifiedBy>
  <dcterms:created xsi:type="dcterms:W3CDTF">2015-10-13T01:05:52Z</dcterms:created>
  <dcterms:modified xsi:type="dcterms:W3CDTF">2026-04-01T15:56:03Z</dcterms:modified>
</cp:coreProperties>
</file>