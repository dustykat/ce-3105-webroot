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clevel\Downloads\"/>
    </mc:Choice>
  </mc:AlternateContent>
  <xr:revisionPtr revIDLastSave="0" documentId="8_{14A8E633-4F09-4F75-A6FE-BBEE608696DA}" xr6:coauthVersionLast="47" xr6:coauthVersionMax="47" xr10:uidLastSave="{00000000-0000-0000-0000-000000000000}"/>
  <bookViews>
    <workbookView xWindow="3855" yWindow="0" windowWidth="21930" windowHeight="12690" xr2:uid="{84BD1EC7-95A8-4C20-BECD-E12C45C4F0E0}"/>
  </bookViews>
  <sheets>
    <sheet name="Sheet1" sheetId="1" r:id="rId1"/>
  </sheets>
  <definedNames>
    <definedName name="solver_adj" localSheetId="0" hidden="1">Sheet1!$M$21:$M$23</definedName>
    <definedName name="solver_cvg" localSheetId="0" hidden="1">0.0000001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Sheet1!$M$22</definedName>
    <definedName name="solver_lhs2" localSheetId="0" hidden="1">Sheet1!$M$23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Sheet1!$O$31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1</definedName>
    <definedName name="solver_rhs2" localSheetId="0" hidden="1">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1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7" i="1"/>
  <c r="M8" i="1"/>
  <c r="M9" i="1"/>
  <c r="M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26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25" i="1"/>
  <c r="H18" i="1"/>
  <c r="H17" i="1"/>
  <c r="H16" i="1"/>
  <c r="K9" i="1" s="1"/>
  <c r="K5" i="1" l="1"/>
  <c r="L5" i="1" s="1"/>
  <c r="M5" i="1" s="1"/>
  <c r="N5" i="1" s="1"/>
  <c r="O5" i="1" s="1"/>
  <c r="K8" i="1"/>
  <c r="L8" i="1"/>
  <c r="K6" i="1"/>
  <c r="L6" i="1" s="1"/>
  <c r="N6" i="1" s="1"/>
  <c r="O6" i="1" s="1"/>
  <c r="L9" i="1"/>
  <c r="N9" i="1" s="1"/>
  <c r="O9" i="1" s="1"/>
  <c r="K10" i="1"/>
  <c r="L10" i="1" s="1"/>
  <c r="N10" i="1" s="1"/>
  <c r="O10" i="1" s="1"/>
  <c r="K7" i="1"/>
  <c r="L7" i="1" s="1"/>
  <c r="N7" i="1" s="1"/>
  <c r="O7" i="1" s="1"/>
  <c r="N8" i="1"/>
  <c r="O8" i="1" s="1"/>
</calcChain>
</file>

<file path=xl/sharedStrings.xml><?xml version="1.0" encoding="utf-8"?>
<sst xmlns="http://schemas.openxmlformats.org/spreadsheetml/2006/main" count="39" uniqueCount="35">
  <si>
    <t>t_1</t>
  </si>
  <si>
    <t>t_2</t>
  </si>
  <si>
    <t>t_3</t>
  </si>
  <si>
    <t>Q(L/s)</t>
  </si>
  <si>
    <t>H (m)</t>
  </si>
  <si>
    <t>V (volts)</t>
  </si>
  <si>
    <t>V*I (watts)</t>
  </si>
  <si>
    <t>t_bar</t>
  </si>
  <si>
    <t>Measured Values</t>
  </si>
  <si>
    <t>Computed Values</t>
  </si>
  <si>
    <t>Beaker Volume:</t>
  </si>
  <si>
    <t>mL</t>
  </si>
  <si>
    <t>Celsius</t>
  </si>
  <si>
    <t>Water Temperature:</t>
  </si>
  <si>
    <r>
      <rPr>
        <b/>
        <i/>
        <sz val="11"/>
        <color theme="1"/>
        <rFont val="Symbol"/>
        <family val="1"/>
        <charset val="2"/>
      </rPr>
      <t>g</t>
    </r>
    <r>
      <rPr>
        <b/>
        <i/>
        <sz val="11"/>
        <color theme="1"/>
        <rFont val="Aptos Narrow"/>
        <family val="2"/>
        <scheme val="minor"/>
      </rPr>
      <t>QH</t>
    </r>
    <r>
      <rPr>
        <b/>
        <i/>
        <sz val="11"/>
        <color theme="1"/>
        <rFont val="Aptos Narrow"/>
        <family val="1"/>
        <charset val="2"/>
        <scheme val="minor"/>
      </rPr>
      <t xml:space="preserve"> (</t>
    </r>
    <r>
      <rPr>
        <b/>
        <i/>
        <sz val="11"/>
        <color theme="1"/>
        <rFont val="Aptos Narrow"/>
        <family val="2"/>
        <scheme val="minor"/>
      </rPr>
      <t>watts</t>
    </r>
    <r>
      <rPr>
        <b/>
        <i/>
        <sz val="11"/>
        <color theme="1"/>
        <rFont val="Aptos Narrow"/>
        <family val="1"/>
        <charset val="2"/>
        <scheme val="minor"/>
      </rPr>
      <t>)</t>
    </r>
  </si>
  <si>
    <t>wire-to-water effic. (%)</t>
  </si>
  <si>
    <t>TDH (m)</t>
  </si>
  <si>
    <r>
      <t>Re</t>
    </r>
    <r>
      <rPr>
        <b/>
        <i/>
        <vertAlign val="subscript"/>
        <sz val="10"/>
        <color theme="1"/>
        <rFont val="Arial"/>
        <family val="2"/>
      </rPr>
      <t>D</t>
    </r>
    <r>
      <rPr>
        <b/>
        <sz val="10"/>
        <color theme="1"/>
        <rFont val="Arial"/>
        <family val="2"/>
      </rPr>
      <t>(Q)</t>
    </r>
  </si>
  <si>
    <t>f</t>
  </si>
  <si>
    <t>millimeters</t>
  </si>
  <si>
    <t>kg/m^3</t>
  </si>
  <si>
    <t>N-s/m^2</t>
  </si>
  <si>
    <t>Density:</t>
  </si>
  <si>
    <t>Dynamic Viscosity:</t>
  </si>
  <si>
    <t>Pipe Diameter:</t>
  </si>
  <si>
    <t>Pipe Length:</t>
  </si>
  <si>
    <t>centimeters</t>
  </si>
  <si>
    <t>meters</t>
  </si>
  <si>
    <t>I (amperes)</t>
  </si>
  <si>
    <t>a</t>
  </si>
  <si>
    <t>b</t>
  </si>
  <si>
    <t>e</t>
  </si>
  <si>
    <t>Pump Curve Model</t>
  </si>
  <si>
    <t>Wire-to-Water Model</t>
  </si>
  <si>
    <t>Roughness height: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</si>
</sst>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ptos Narrow"/>
      <family val="1"/>
      <charset val="2"/>
      <scheme val="minor"/>
    </font>
    <font>
      <b/>
      <i/>
      <sz val="11"/>
      <color theme="1"/>
      <name val="Symbol"/>
      <family val="1"/>
      <charset val="2"/>
    </font>
    <font>
      <b/>
      <i/>
      <sz val="11"/>
      <color theme="1"/>
      <name val="Aptos Narrow"/>
      <family val="2"/>
      <scheme val="minor"/>
    </font>
    <font>
      <b/>
      <i/>
      <vertAlign val="subscript"/>
      <sz val="10"/>
      <color theme="1"/>
      <name val="Arial"/>
      <family val="2"/>
    </font>
    <font>
      <b/>
      <i/>
      <sz val="10"/>
      <color theme="1"/>
      <name val="Math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0" fillId="3" borderId="0" xfId="0" applyFill="1"/>
    <xf numFmtId="0" fontId="4" fillId="3" borderId="11" xfId="0" applyFont="1" applyFill="1" applyBorder="1" applyAlignment="1">
      <alignment vertical="top" wrapText="1"/>
    </xf>
    <xf numFmtId="2" fontId="2" fillId="2" borderId="2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vertical="center" wrapText="1"/>
    </xf>
    <xf numFmtId="2" fontId="2" fillId="2" borderId="3" xfId="0" applyNumberFormat="1" applyFont="1" applyFill="1" applyBorder="1" applyAlignment="1">
      <alignment vertical="center" wrapText="1"/>
    </xf>
    <xf numFmtId="2" fontId="2" fillId="2" borderId="4" xfId="0" applyNumberFormat="1" applyFont="1" applyFill="1" applyBorder="1" applyAlignment="1">
      <alignment horizontal="right" vertical="center" wrapText="1"/>
    </xf>
    <xf numFmtId="2" fontId="2" fillId="2" borderId="5" xfId="0" applyNumberFormat="1" applyFont="1" applyFill="1" applyBorder="1" applyAlignment="1">
      <alignment vertical="center" wrapText="1"/>
    </xf>
    <xf numFmtId="2" fontId="2" fillId="2" borderId="6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65" fontId="2" fillId="3" borderId="13" xfId="0" applyNumberFormat="1" applyFont="1" applyFill="1" applyBorder="1" applyAlignment="1">
      <alignment horizontal="right" vertical="center" wrapText="1"/>
    </xf>
    <xf numFmtId="165" fontId="2" fillId="3" borderId="14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3" fillId="3" borderId="11" xfId="0" applyFont="1" applyFill="1" applyBorder="1" applyAlignment="1">
      <alignment horizontal="center" vertical="top"/>
    </xf>
    <xf numFmtId="0" fontId="9" fillId="0" borderId="0" xfId="0" applyFont="1"/>
    <xf numFmtId="0" fontId="0" fillId="2" borderId="0" xfId="0" applyFill="1"/>
    <xf numFmtId="0" fontId="0" fillId="4" borderId="0" xfId="0" applyFill="1"/>
    <xf numFmtId="164" fontId="0" fillId="3" borderId="16" xfId="0" applyNumberFormat="1" applyFill="1" applyBorder="1"/>
    <xf numFmtId="164" fontId="0" fillId="3" borderId="17" xfId="0" applyNumberFormat="1" applyFill="1" applyBorder="1"/>
    <xf numFmtId="164" fontId="0" fillId="3" borderId="18" xfId="0" applyNumberFormat="1" applyFill="1" applyBorder="1"/>
    <xf numFmtId="165" fontId="0" fillId="3" borderId="1" xfId="0" applyNumberFormat="1" applyFill="1" applyBorder="1"/>
    <xf numFmtId="2" fontId="2" fillId="2" borderId="7" xfId="0" applyNumberFormat="1" applyFont="1" applyFill="1" applyBorder="1" applyAlignment="1">
      <alignment horizontal="right" vertical="center" wrapText="1"/>
    </xf>
    <xf numFmtId="2" fontId="2" fillId="2" borderId="8" xfId="0" applyNumberFormat="1" applyFont="1" applyFill="1" applyBorder="1" applyAlignment="1">
      <alignment vertical="center" wrapText="1"/>
    </xf>
    <xf numFmtId="2" fontId="2" fillId="2" borderId="9" xfId="0" applyNumberFormat="1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164" fontId="2" fillId="3" borderId="7" xfId="0" applyNumberFormat="1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165" fontId="2" fillId="3" borderId="15" xfId="0" applyNumberFormat="1" applyFont="1" applyFill="1" applyBorder="1" applyAlignment="1">
      <alignment horizontal="right" vertical="center" wrapText="1"/>
    </xf>
    <xf numFmtId="165" fontId="0" fillId="3" borderId="8" xfId="0" applyNumberFormat="1" applyFill="1" applyBorder="1"/>
    <xf numFmtId="165" fontId="0" fillId="3" borderId="5" xfId="0" applyNumberFormat="1" applyFill="1" applyBorder="1"/>
    <xf numFmtId="165" fontId="2" fillId="3" borderId="19" xfId="0" applyNumberFormat="1" applyFont="1" applyFill="1" applyBorder="1" applyAlignment="1">
      <alignment horizontal="right" vertical="center" wrapText="1"/>
    </xf>
    <xf numFmtId="165" fontId="2" fillId="3" borderId="20" xfId="0" applyNumberFormat="1" applyFont="1" applyFill="1" applyBorder="1" applyAlignment="1">
      <alignment horizontal="right" vertical="center" wrapText="1"/>
    </xf>
    <xf numFmtId="165" fontId="2" fillId="3" borderId="10" xfId="0" applyNumberFormat="1" applyFont="1" applyFill="1" applyBorder="1" applyAlignment="1">
      <alignment horizontal="right" vertical="center" wrapText="1"/>
    </xf>
    <xf numFmtId="0" fontId="8" fillId="3" borderId="11" xfId="0" applyFont="1" applyFill="1" applyBorder="1" applyAlignment="1">
      <alignment horizontal="center" vertical="top"/>
    </xf>
    <xf numFmtId="165" fontId="2" fillId="3" borderId="1" xfId="0" applyNumberFormat="1" applyFont="1" applyFill="1" applyBorder="1" applyAlignment="1">
      <alignment horizontal="right" vertical="center" wrapText="1"/>
    </xf>
    <xf numFmtId="0" fontId="3" fillId="2" borderId="21" xfId="0" applyFont="1" applyFill="1" applyBorder="1" applyAlignment="1">
      <alignment horizontal="center" vertical="top"/>
    </xf>
    <xf numFmtId="0" fontId="3" fillId="2" borderId="22" xfId="0" applyFont="1" applyFill="1" applyBorder="1" applyAlignment="1">
      <alignment horizontal="center" vertical="top"/>
    </xf>
    <xf numFmtId="0" fontId="3" fillId="2" borderId="23" xfId="0" applyFont="1" applyFill="1" applyBorder="1" applyAlignment="1">
      <alignment horizontal="center" vertical="top"/>
    </xf>
    <xf numFmtId="0" fontId="3" fillId="3" borderId="21" xfId="0" applyFont="1" applyFill="1" applyBorder="1" applyAlignment="1">
      <alignment horizontal="center" vertical="top"/>
    </xf>
    <xf numFmtId="0" fontId="3" fillId="3" borderId="23" xfId="0" applyFont="1" applyFill="1" applyBorder="1" applyAlignment="1">
      <alignment horizontal="center" vertical="top"/>
    </xf>
    <xf numFmtId="0" fontId="3" fillId="3" borderId="11" xfId="0" applyFont="1" applyFill="1" applyBorder="1" applyAlignment="1">
      <alignment horizontal="center" vertical="top" wrapText="1"/>
    </xf>
    <xf numFmtId="165" fontId="2" fillId="3" borderId="8" xfId="0" applyNumberFormat="1" applyFont="1" applyFill="1" applyBorder="1" applyAlignment="1">
      <alignment horizontal="right" vertical="center" wrapText="1"/>
    </xf>
    <xf numFmtId="165" fontId="2" fillId="3" borderId="5" xfId="0" applyNumberFormat="1" applyFont="1" applyFill="1" applyBorder="1" applyAlignment="1">
      <alignment horizontal="right" vertical="center" wrapText="1"/>
    </xf>
    <xf numFmtId="0" fontId="3" fillId="5" borderId="23" xfId="0" applyFont="1" applyFill="1" applyBorder="1" applyAlignment="1">
      <alignment horizontal="center" vertical="top"/>
    </xf>
    <xf numFmtId="0" fontId="2" fillId="5" borderId="9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Pump Performance for Micro-Pump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24008575737486"/>
          <c:y val="0.10612303290414879"/>
          <c:w val="0.75686698689990195"/>
          <c:h val="0.5924654215910871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Sheet1!$M$4</c:f>
              <c:strCache>
                <c:ptCount val="1"/>
                <c:pt idx="0">
                  <c:v>TDH 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2"/>
            <c:intercept val="1"/>
            <c:dispRSqr val="1"/>
            <c:dispEq val="1"/>
            <c:trendlineLbl>
              <c:layout>
                <c:manualLayout>
                  <c:x val="-0.3767709697583162"/>
                  <c:y val="-0.13459290877372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Sheet1!$I$5:$I$10</c:f>
              <c:numCache>
                <c:formatCode>General</c:formatCode>
                <c:ptCount val="6"/>
                <c:pt idx="0">
                  <c:v>6.6E-3</c:v>
                </c:pt>
                <c:pt idx="1">
                  <c:v>1.0200000000000001E-2</c:v>
                </c:pt>
                <c:pt idx="2">
                  <c:v>1.0500000000000001E-2</c:v>
                </c:pt>
                <c:pt idx="3">
                  <c:v>1.1900000000000001E-2</c:v>
                </c:pt>
                <c:pt idx="4">
                  <c:v>1.2200000000000001E-2</c:v>
                </c:pt>
                <c:pt idx="5">
                  <c:v>1.26E-2</c:v>
                </c:pt>
              </c:numCache>
            </c:numRef>
          </c:xVal>
          <c:yVal>
            <c:numRef>
              <c:f>Sheet1!$M$5:$M$10</c:f>
              <c:numCache>
                <c:formatCode>0.000</c:formatCode>
                <c:ptCount val="6"/>
                <c:pt idx="0">
                  <c:v>0.8204268749912601</c:v>
                </c:pt>
                <c:pt idx="1">
                  <c:v>0.69962939202317531</c:v>
                </c:pt>
                <c:pt idx="2">
                  <c:v>0.61206375478045949</c:v>
                </c:pt>
                <c:pt idx="3">
                  <c:v>0.59082702701678669</c:v>
                </c:pt>
                <c:pt idx="4">
                  <c:v>0.53807007866643508</c:v>
                </c:pt>
                <c:pt idx="5">
                  <c:v>0.49256428431340382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AB-4329-8288-E5D82C2ADE71}"/>
            </c:ext>
          </c:extLst>
        </c:ser>
        <c:ser>
          <c:idx val="0"/>
          <c:order val="1"/>
          <c:tx>
            <c:strRef>
              <c:f>Sheet1!$M$24</c:f>
              <c:strCache>
                <c:ptCount val="1"/>
                <c:pt idx="0">
                  <c:v>Pump Curve Model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Sheet1!$L$25:$L$40</c:f>
              <c:numCache>
                <c:formatCode>General</c:formatCode>
                <c:ptCount val="16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</c:numCache>
            </c:numRef>
          </c:xVal>
          <c:yVal>
            <c:numRef>
              <c:f>Sheet1!$M$25:$M$40</c:f>
              <c:numCache>
                <c:formatCode>General</c:formatCode>
                <c:ptCount val="16"/>
                <c:pt idx="0">
                  <c:v>1</c:v>
                </c:pt>
                <c:pt idx="1">
                  <c:v>0.98672689999999996</c:v>
                </c:pt>
                <c:pt idx="2">
                  <c:v>0.96911559999999997</c:v>
                </c:pt>
                <c:pt idx="3">
                  <c:v>0.94716610000000001</c:v>
                </c:pt>
                <c:pt idx="4">
                  <c:v>0.92087839999999999</c:v>
                </c:pt>
                <c:pt idx="5">
                  <c:v>0.8902525</c:v>
                </c:pt>
                <c:pt idx="6">
                  <c:v>0.85528839999999995</c:v>
                </c:pt>
                <c:pt idx="7">
                  <c:v>0.81598609999999994</c:v>
                </c:pt>
                <c:pt idx="8">
                  <c:v>0.77234559999999997</c:v>
                </c:pt>
                <c:pt idx="9">
                  <c:v>0.72436690000000004</c:v>
                </c:pt>
                <c:pt idx="10">
                  <c:v>0.67205000000000004</c:v>
                </c:pt>
                <c:pt idx="11">
                  <c:v>0.61539490000000008</c:v>
                </c:pt>
                <c:pt idx="12">
                  <c:v>0.55440160000000005</c:v>
                </c:pt>
                <c:pt idx="13">
                  <c:v>0.48907010000000001</c:v>
                </c:pt>
                <c:pt idx="14">
                  <c:v>0.41940039999999995</c:v>
                </c:pt>
                <c:pt idx="15">
                  <c:v>0.34539249999999999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AB-4329-8288-E5D82C2AD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570719"/>
        <c:axId val="2037574079"/>
      </c:scatterChart>
      <c:scatterChart>
        <c:scatterStyle val="smoothMarker"/>
        <c:varyColors val="0"/>
        <c:ser>
          <c:idx val="2"/>
          <c:order val="2"/>
          <c:tx>
            <c:strRef>
              <c:f>Sheet1!$O$4</c:f>
              <c:strCache>
                <c:ptCount val="1"/>
                <c:pt idx="0">
                  <c:v>wire-to-water effic.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28555066779923327"/>
                  <c:y val="0.42238988209223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Sheet1!$I$5:$I$10</c:f>
              <c:numCache>
                <c:formatCode>General</c:formatCode>
                <c:ptCount val="6"/>
                <c:pt idx="0">
                  <c:v>6.6E-3</c:v>
                </c:pt>
                <c:pt idx="1">
                  <c:v>1.0200000000000001E-2</c:v>
                </c:pt>
                <c:pt idx="2">
                  <c:v>1.0500000000000001E-2</c:v>
                </c:pt>
                <c:pt idx="3">
                  <c:v>1.1900000000000001E-2</c:v>
                </c:pt>
                <c:pt idx="4">
                  <c:v>1.2200000000000001E-2</c:v>
                </c:pt>
                <c:pt idx="5">
                  <c:v>1.26E-2</c:v>
                </c:pt>
              </c:numCache>
            </c:numRef>
          </c:xVal>
          <c:yVal>
            <c:numRef>
              <c:f>Sheet1!$O$5:$O$10</c:f>
              <c:numCache>
                <c:formatCode>0.0</c:formatCode>
                <c:ptCount val="6"/>
                <c:pt idx="0">
                  <c:v>5.6754235587630708</c:v>
                </c:pt>
                <c:pt idx="1">
                  <c:v>9.7811124512778491</c:v>
                </c:pt>
                <c:pt idx="2">
                  <c:v>9.5426303586226204</c:v>
                </c:pt>
                <c:pt idx="3">
                  <c:v>9.636678026671003</c:v>
                </c:pt>
                <c:pt idx="4">
                  <c:v>8.997434769980277</c:v>
                </c:pt>
                <c:pt idx="5">
                  <c:v>10.577710926438105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AB-4329-8288-E5D82C2ADE71}"/>
            </c:ext>
          </c:extLst>
        </c:ser>
        <c:ser>
          <c:idx val="3"/>
          <c:order val="3"/>
          <c:tx>
            <c:strRef>
              <c:f>Sheet1!$N$24</c:f>
              <c:strCache>
                <c:ptCount val="1"/>
                <c:pt idx="0">
                  <c:v>Wire-to-Water Model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Sheet1!$L$25:$L$40</c:f>
              <c:numCache>
                <c:formatCode>General</c:formatCode>
                <c:ptCount val="16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</c:numCache>
            </c:numRef>
          </c:xVal>
          <c:yVal>
            <c:numRef>
              <c:f>Sheet1!$N$25:$N$40</c:f>
              <c:numCache>
                <c:formatCode>General</c:formatCode>
                <c:ptCount val="16"/>
                <c:pt idx="0">
                  <c:v>0</c:v>
                </c:pt>
                <c:pt idx="1">
                  <c:v>1.107146</c:v>
                </c:pt>
                <c:pt idx="2">
                  <c:v>2.1619839999999999</c:v>
                </c:pt>
                <c:pt idx="3">
                  <c:v>3.164514</c:v>
                </c:pt>
                <c:pt idx="4">
                  <c:v>4.1147359999999997</c:v>
                </c:pt>
                <c:pt idx="5">
                  <c:v>5.0126499999999998</c:v>
                </c:pt>
                <c:pt idx="6">
                  <c:v>5.8582559999999999</c:v>
                </c:pt>
                <c:pt idx="7">
                  <c:v>6.6515539999999991</c:v>
                </c:pt>
                <c:pt idx="8">
                  <c:v>7.392544</c:v>
                </c:pt>
                <c:pt idx="9">
                  <c:v>8.0812259999999991</c:v>
                </c:pt>
                <c:pt idx="10">
                  <c:v>8.7176000000000009</c:v>
                </c:pt>
                <c:pt idx="11">
                  <c:v>9.3016659999999991</c:v>
                </c:pt>
                <c:pt idx="12">
                  <c:v>9.8334240000000008</c:v>
                </c:pt>
                <c:pt idx="13">
                  <c:v>10.312873999999999</c:v>
                </c:pt>
                <c:pt idx="14">
                  <c:v>10.740015999999999</c:v>
                </c:pt>
                <c:pt idx="15">
                  <c:v>11.114849999999997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7AB-4329-8288-E5D82C2AD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885648"/>
        <c:axId val="1291883728"/>
      </c:scatterChart>
      <c:valAx>
        <c:axId val="203757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Discharge (Liters per 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574079"/>
        <c:crosses val="autoZero"/>
        <c:crossBetween val="midCat"/>
      </c:valAx>
      <c:valAx>
        <c:axId val="20375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Dynamic Head (meters)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570719"/>
        <c:crosses val="autoZero"/>
        <c:crossBetween val="midCat"/>
      </c:valAx>
      <c:valAx>
        <c:axId val="12918837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Wire-to-Water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85648"/>
        <c:crosses val="max"/>
        <c:crossBetween val="midCat"/>
      </c:valAx>
      <c:valAx>
        <c:axId val="129188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188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651973156235832E-2"/>
          <c:y val="0.80250451352540475"/>
          <c:w val="0.77595694663839732"/>
          <c:h val="9.6413239548217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704849</xdr:colOff>
      <xdr:row>18</xdr:row>
      <xdr:rowOff>76199</xdr:rowOff>
    </xdr:from>
    <xdr:to>
      <xdr:col>11</xdr:col>
      <xdr:colOff>419100</xdr:colOff>
      <xdr:row>40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0AF75-7735-1D3D-7FF3-0CA19686A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DDBD-C30F-4700-BC63-4A37320C695C}">
  <dimension ref="B2:O40"/>
  <sheetViews>
    <sheetView showFormulas="1" tabSelected="1" zoomScale="75" zoomScaleNormal="75" workbookViewId="0"/>
  </sheetViews>
  <sheetFormatPr defaultRowHeight="15" x14ac:dyDescent="0.25"/>
  <cols>
    <col min="1" max="1" width="1.85546875" customWidth="1"/>
    <col min="2" max="2" width="8.28515625" customWidth="1"/>
    <col min="3" max="3" width="6.140625" customWidth="1"/>
    <col min="4" max="4" width="5.85546875" customWidth="1"/>
    <col min="5" max="5" width="6.140625" customWidth="1"/>
    <col min="6" max="6" width="8.5703125" customWidth="1"/>
    <col min="7" max="7" width="11.85546875" customWidth="1"/>
    <col min="8" max="8" width="9.28515625" customWidth="1"/>
    <col min="9" max="9" width="9.42578125" customWidth="1"/>
    <col min="10" max="10" width="10.5703125" customWidth="1"/>
    <col min="11" max="11" width="9.7109375" customWidth="1"/>
    <col min="12" max="12" width="6.85546875" customWidth="1"/>
    <col min="13" max="13" width="9.28515625" customWidth="1"/>
    <col min="14" max="14" width="10" customWidth="1"/>
    <col min="15" max="15" width="13.140625" customWidth="1"/>
    <col min="16" max="16" width="11.28515625" customWidth="1"/>
  </cols>
  <sheetData>
    <row r="2" spans="2:15" ht="18.75" customHeight="1" x14ac:dyDescent="0.25"/>
    <row r="3" spans="2:15" ht="32.25" customHeight="1" thickBot="1" x14ac:dyDescent="0.3">
      <c r="B3" s="59" t="s">
        <v>8</v>
      </c>
      <c r="C3" s="59"/>
      <c r="D3" s="59"/>
      <c r="E3" s="59"/>
      <c r="F3" s="59"/>
      <c r="G3" s="59"/>
      <c r="H3" s="59" t="s">
        <v>9</v>
      </c>
      <c r="I3" s="59"/>
      <c r="J3" s="59"/>
      <c r="K3" s="22"/>
      <c r="L3" s="22"/>
      <c r="M3" s="22"/>
    </row>
    <row r="4" spans="2:15" ht="33.75" customHeight="1" thickBot="1" x14ac:dyDescent="0.3">
      <c r="B4" s="46" t="s">
        <v>4</v>
      </c>
      <c r="C4" s="47" t="s">
        <v>0</v>
      </c>
      <c r="D4" s="47" t="s">
        <v>1</v>
      </c>
      <c r="E4" s="48" t="s">
        <v>2</v>
      </c>
      <c r="F4" s="46" t="s">
        <v>5</v>
      </c>
      <c r="G4" s="48" t="s">
        <v>28</v>
      </c>
      <c r="H4" s="49" t="s">
        <v>7</v>
      </c>
      <c r="I4" s="50" t="s">
        <v>3</v>
      </c>
      <c r="J4" s="23" t="s">
        <v>6</v>
      </c>
      <c r="K4" s="23" t="s">
        <v>17</v>
      </c>
      <c r="L4" s="44" t="s">
        <v>18</v>
      </c>
      <c r="M4" s="23" t="s">
        <v>16</v>
      </c>
      <c r="N4" s="11" t="s">
        <v>14</v>
      </c>
      <c r="O4" s="51" t="s">
        <v>15</v>
      </c>
    </row>
    <row r="5" spans="2:15" x14ac:dyDescent="0.25">
      <c r="B5" s="31">
        <v>0.78</v>
      </c>
      <c r="C5" s="32">
        <v>29.4</v>
      </c>
      <c r="D5" s="32">
        <v>30.55</v>
      </c>
      <c r="E5" s="33">
        <v>30.95</v>
      </c>
      <c r="F5" s="34">
        <v>5.5</v>
      </c>
      <c r="G5" s="35">
        <v>0.17</v>
      </c>
      <c r="H5" s="36">
        <v>30.3</v>
      </c>
      <c r="I5" s="37">
        <v>6.6E-3</v>
      </c>
      <c r="J5" s="38">
        <v>0.93500000000000005</v>
      </c>
      <c r="K5" s="52">
        <f t="shared" ref="K5:K10" si="0">4*$E$14*(I5/1000)/$E$15*PI()*($H$16)</f>
        <v>0.55382098511088973</v>
      </c>
      <c r="L5" s="52">
        <f t="shared" ref="L5:L10" si="1">0.25/(LOG10(($H$18/$H$16)/3.7+5.74/(K5^0.9))^2)</f>
        <v>0.25513246744592277</v>
      </c>
      <c r="M5" s="41">
        <f t="shared" ref="M5:M10" si="2">B5+(1+L5*$H$17/$H$16)*(8*(I5/1000)^2)/(PI()^2*9.8*$H$16^4)</f>
        <v>0.8204268749912601</v>
      </c>
      <c r="N5" s="39">
        <f t="shared" ref="N5:N10" si="3">(I5/1000)*(M5)*9800</f>
        <v>5.3065210274434713E-2</v>
      </c>
      <c r="O5" s="27">
        <f t="shared" ref="O5:O10" si="4">100*N5/J5</f>
        <v>5.6754235587630708</v>
      </c>
    </row>
    <row r="6" spans="2:15" x14ac:dyDescent="0.25">
      <c r="B6" s="12">
        <v>0.56000000000000005</v>
      </c>
      <c r="C6" s="13">
        <v>18.95</v>
      </c>
      <c r="D6" s="13">
        <v>19.7</v>
      </c>
      <c r="E6" s="14">
        <v>20.149999999999999</v>
      </c>
      <c r="F6" s="2">
        <v>5.5</v>
      </c>
      <c r="G6" s="6">
        <v>0.13</v>
      </c>
      <c r="H6" s="18">
        <v>19.600000000000001</v>
      </c>
      <c r="I6" s="4">
        <v>1.0200000000000001E-2</v>
      </c>
      <c r="J6" s="20">
        <v>0.71499999999999997</v>
      </c>
      <c r="K6" s="45">
        <f t="shared" si="0"/>
        <v>0.85590515880773854</v>
      </c>
      <c r="L6" s="45">
        <f t="shared" si="1"/>
        <v>0.37203371975182997</v>
      </c>
      <c r="M6" s="42">
        <f t="shared" si="2"/>
        <v>0.69962939202317531</v>
      </c>
      <c r="N6" s="30">
        <f t="shared" si="3"/>
        <v>6.9934954026636617E-2</v>
      </c>
      <c r="O6" s="28">
        <f t="shared" si="4"/>
        <v>9.7811124512778491</v>
      </c>
    </row>
    <row r="7" spans="2:15" x14ac:dyDescent="0.25">
      <c r="B7" s="12">
        <v>0.46</v>
      </c>
      <c r="C7" s="13">
        <v>18.399999999999999</v>
      </c>
      <c r="D7" s="13">
        <v>19.100000000000001</v>
      </c>
      <c r="E7" s="14">
        <v>19.5</v>
      </c>
      <c r="F7" s="2">
        <v>5.5</v>
      </c>
      <c r="G7" s="6">
        <v>0.12</v>
      </c>
      <c r="H7" s="18">
        <v>19</v>
      </c>
      <c r="I7" s="4">
        <v>1.0500000000000001E-2</v>
      </c>
      <c r="J7" s="20">
        <v>0.66</v>
      </c>
      <c r="K7" s="45">
        <f t="shared" si="0"/>
        <v>0.88107883994914271</v>
      </c>
      <c r="L7" s="45">
        <f t="shared" si="1"/>
        <v>0.38253475210106608</v>
      </c>
      <c r="M7" s="42">
        <f t="shared" si="2"/>
        <v>0.61206375478045949</v>
      </c>
      <c r="N7" s="30">
        <f t="shared" si="3"/>
        <v>6.2981360366909295E-2</v>
      </c>
      <c r="O7" s="28">
        <f t="shared" si="4"/>
        <v>9.5426303586226204</v>
      </c>
    </row>
    <row r="8" spans="2:15" x14ac:dyDescent="0.25">
      <c r="B8" s="12">
        <v>0.37</v>
      </c>
      <c r="C8" s="13">
        <v>16.2</v>
      </c>
      <c r="D8" s="13">
        <v>16.899999999999999</v>
      </c>
      <c r="E8" s="14">
        <v>17.3</v>
      </c>
      <c r="F8" s="2">
        <v>5.5</v>
      </c>
      <c r="G8" s="6">
        <v>0.13</v>
      </c>
      <c r="H8" s="18">
        <v>16.8</v>
      </c>
      <c r="I8" s="4">
        <v>1.1900000000000001E-2</v>
      </c>
      <c r="J8" s="20">
        <v>0.71499999999999997</v>
      </c>
      <c r="K8" s="45">
        <f t="shared" si="0"/>
        <v>0.99855601860902843</v>
      </c>
      <c r="L8" s="45">
        <f t="shared" si="1"/>
        <v>0.43340073312983912</v>
      </c>
      <c r="M8" s="42">
        <f t="shared" si="2"/>
        <v>0.59082702701678669</v>
      </c>
      <c r="N8" s="30">
        <f t="shared" si="3"/>
        <v>6.8902247890697668E-2</v>
      </c>
      <c r="O8" s="28">
        <f t="shared" si="4"/>
        <v>9.636678026671003</v>
      </c>
    </row>
    <row r="9" spans="2:15" x14ac:dyDescent="0.25">
      <c r="B9" s="12">
        <v>0.3</v>
      </c>
      <c r="C9" s="13">
        <v>15.9</v>
      </c>
      <c r="D9" s="13">
        <v>16.45</v>
      </c>
      <c r="E9" s="14">
        <v>16.850000000000001</v>
      </c>
      <c r="F9" s="2">
        <v>5.5</v>
      </c>
      <c r="G9" s="6">
        <v>0.13</v>
      </c>
      <c r="H9" s="18">
        <v>16.399999999999999</v>
      </c>
      <c r="I9" s="4">
        <v>1.2200000000000001E-2</v>
      </c>
      <c r="J9" s="20">
        <v>0.71499999999999997</v>
      </c>
      <c r="K9" s="45">
        <f t="shared" si="0"/>
        <v>1.0237296997504324</v>
      </c>
      <c r="L9" s="45">
        <f t="shared" si="1"/>
        <v>0.44472391820125207</v>
      </c>
      <c r="M9" s="42">
        <f t="shared" si="2"/>
        <v>0.53807007866643508</v>
      </c>
      <c r="N9" s="30">
        <f t="shared" si="3"/>
        <v>6.4331658605358971E-2</v>
      </c>
      <c r="O9" s="28">
        <f t="shared" si="4"/>
        <v>8.997434769980277</v>
      </c>
    </row>
    <row r="10" spans="2:15" ht="15.75" thickBot="1" x14ac:dyDescent="0.3">
      <c r="B10" s="15">
        <v>0.23</v>
      </c>
      <c r="C10" s="16">
        <v>15.4</v>
      </c>
      <c r="D10" s="16">
        <v>16</v>
      </c>
      <c r="E10" s="17">
        <v>16.3</v>
      </c>
      <c r="F10" s="3">
        <v>5.5</v>
      </c>
      <c r="G10" s="7">
        <v>0.11</v>
      </c>
      <c r="H10" s="19">
        <v>15.9</v>
      </c>
      <c r="I10" s="5">
        <v>1.26E-2</v>
      </c>
      <c r="J10" s="21">
        <v>0.57499999999999996</v>
      </c>
      <c r="K10" s="53">
        <f t="shared" si="0"/>
        <v>1.0572946079389711</v>
      </c>
      <c r="L10" s="53">
        <f t="shared" si="1"/>
        <v>0.46006808741303051</v>
      </c>
      <c r="M10" s="43">
        <f t="shared" si="2"/>
        <v>0.49256428431340382</v>
      </c>
      <c r="N10" s="40">
        <f t="shared" si="3"/>
        <v>6.0821837827019103E-2</v>
      </c>
      <c r="O10" s="29">
        <f t="shared" si="4"/>
        <v>10.577710926438105</v>
      </c>
    </row>
    <row r="11" spans="2:15" ht="15.75" thickBot="1" x14ac:dyDescent="0.3">
      <c r="B11" s="1"/>
    </row>
    <row r="12" spans="2:15" x14ac:dyDescent="0.25">
      <c r="B12" s="60" t="s">
        <v>10</v>
      </c>
      <c r="C12" s="60"/>
      <c r="D12" s="60"/>
      <c r="E12" s="8">
        <v>200</v>
      </c>
      <c r="F12" t="s">
        <v>11</v>
      </c>
    </row>
    <row r="13" spans="2:15" ht="15.75" thickBot="1" x14ac:dyDescent="0.3">
      <c r="B13" s="60" t="s">
        <v>13</v>
      </c>
      <c r="C13" s="60"/>
      <c r="D13" s="60"/>
      <c r="E13" s="9">
        <v>17</v>
      </c>
      <c r="F13" t="s">
        <v>12</v>
      </c>
    </row>
    <row r="14" spans="2:15" x14ac:dyDescent="0.25">
      <c r="B14" s="57" t="s">
        <v>22</v>
      </c>
      <c r="C14" s="57"/>
      <c r="D14" s="57"/>
      <c r="E14" s="26">
        <v>999</v>
      </c>
      <c r="F14" t="s">
        <v>20</v>
      </c>
    </row>
    <row r="15" spans="2:15" x14ac:dyDescent="0.25">
      <c r="B15" s="57" t="s">
        <v>23</v>
      </c>
      <c r="C15" s="57"/>
      <c r="D15" s="57"/>
      <c r="E15" s="26">
        <v>1.14E-3</v>
      </c>
      <c r="F15" s="24" t="s">
        <v>21</v>
      </c>
    </row>
    <row r="16" spans="2:15" x14ac:dyDescent="0.25">
      <c r="B16" s="57" t="s">
        <v>24</v>
      </c>
      <c r="C16" s="57"/>
      <c r="D16" s="57"/>
      <c r="E16" s="25">
        <v>7.62</v>
      </c>
      <c r="F16" t="s">
        <v>19</v>
      </c>
      <c r="H16" s="10">
        <f>E16/1000</f>
        <v>7.62E-3</v>
      </c>
      <c r="I16" t="s">
        <v>27</v>
      </c>
    </row>
    <row r="17" spans="2:14" x14ac:dyDescent="0.25">
      <c r="B17" s="57" t="s">
        <v>25</v>
      </c>
      <c r="C17" s="57"/>
      <c r="D17" s="57"/>
      <c r="E17" s="25">
        <v>110</v>
      </c>
      <c r="F17" t="s">
        <v>26</v>
      </c>
      <c r="H17" s="10">
        <f>E17/100</f>
        <v>1.1000000000000001</v>
      </c>
      <c r="I17" t="s">
        <v>27</v>
      </c>
    </row>
    <row r="18" spans="2:14" x14ac:dyDescent="0.25">
      <c r="B18" s="58" t="s">
        <v>34</v>
      </c>
      <c r="C18" s="58"/>
      <c r="D18" s="58"/>
      <c r="E18" s="26">
        <v>7.0000000000000001E-3</v>
      </c>
      <c r="F18" t="s">
        <v>19</v>
      </c>
      <c r="H18" s="10">
        <f>E18/1000</f>
        <v>6.9999999999999999E-6</v>
      </c>
      <c r="I18" t="s">
        <v>27</v>
      </c>
    </row>
    <row r="21" spans="2:14" x14ac:dyDescent="0.25">
      <c r="L21" t="s">
        <v>29</v>
      </c>
      <c r="M21">
        <v>1</v>
      </c>
      <c r="N21">
        <v>0</v>
      </c>
    </row>
    <row r="22" spans="2:14" x14ac:dyDescent="0.25">
      <c r="L22" t="s">
        <v>30</v>
      </c>
      <c r="M22">
        <v>-11.103999999999999</v>
      </c>
      <c r="N22">
        <v>1133.3</v>
      </c>
    </row>
    <row r="23" spans="2:14" ht="15.75" thickBot="1" x14ac:dyDescent="0.3">
      <c r="L23" t="s">
        <v>31</v>
      </c>
      <c r="M23">
        <v>-2169.1</v>
      </c>
      <c r="N23">
        <v>-26154</v>
      </c>
    </row>
    <row r="24" spans="2:14" ht="15.75" thickBot="1" x14ac:dyDescent="0.3">
      <c r="L24" s="54" t="s">
        <v>3</v>
      </c>
      <c r="M24" t="s">
        <v>32</v>
      </c>
      <c r="N24" t="s">
        <v>33</v>
      </c>
    </row>
    <row r="25" spans="2:14" x14ac:dyDescent="0.25">
      <c r="L25" s="55">
        <v>0</v>
      </c>
      <c r="M25">
        <f t="shared" ref="M25:M40" si="5">$M$21+$M$22*L25+$M$23*(L25^2)</f>
        <v>1</v>
      </c>
      <c r="N25">
        <v>0</v>
      </c>
    </row>
    <row r="26" spans="2:14" ht="15.75" thickBot="1" x14ac:dyDescent="0.3">
      <c r="L26" s="56">
        <v>1E-3</v>
      </c>
      <c r="M26">
        <f t="shared" si="5"/>
        <v>0.98672689999999996</v>
      </c>
      <c r="N26">
        <f>$N$23*L26^2+$N$22*L26+$N$21</f>
        <v>1.107146</v>
      </c>
    </row>
    <row r="27" spans="2:14" x14ac:dyDescent="0.25">
      <c r="L27" s="55">
        <v>2E-3</v>
      </c>
      <c r="M27">
        <f t="shared" si="5"/>
        <v>0.96911559999999997</v>
      </c>
      <c r="N27">
        <f t="shared" ref="N27:N40" si="6">$N$23*L27^2+$N$22*L27+$N$21</f>
        <v>2.1619839999999999</v>
      </c>
    </row>
    <row r="28" spans="2:14" ht="15.75" thickBot="1" x14ac:dyDescent="0.3">
      <c r="L28" s="56">
        <v>3.0000000000000001E-3</v>
      </c>
      <c r="M28">
        <f t="shared" si="5"/>
        <v>0.94716610000000001</v>
      </c>
      <c r="N28">
        <f t="shared" si="6"/>
        <v>3.164514</v>
      </c>
    </row>
    <row r="29" spans="2:14" x14ac:dyDescent="0.25">
      <c r="L29" s="55">
        <v>4.0000000000000001E-3</v>
      </c>
      <c r="M29">
        <f t="shared" si="5"/>
        <v>0.92087839999999999</v>
      </c>
      <c r="N29">
        <f t="shared" si="6"/>
        <v>4.1147359999999997</v>
      </c>
    </row>
    <row r="30" spans="2:14" ht="15.75" thickBot="1" x14ac:dyDescent="0.3">
      <c r="L30" s="56">
        <v>5.0000000000000001E-3</v>
      </c>
      <c r="M30">
        <f t="shared" si="5"/>
        <v>0.8902525</v>
      </c>
      <c r="N30">
        <f t="shared" si="6"/>
        <v>5.0126499999999998</v>
      </c>
    </row>
    <row r="31" spans="2:14" x14ac:dyDescent="0.25">
      <c r="L31" s="55">
        <v>6.0000000000000001E-3</v>
      </c>
      <c r="M31">
        <f t="shared" si="5"/>
        <v>0.85528839999999995</v>
      </c>
      <c r="N31">
        <f t="shared" si="6"/>
        <v>5.8582559999999999</v>
      </c>
    </row>
    <row r="32" spans="2:14" ht="15.75" thickBot="1" x14ac:dyDescent="0.3">
      <c r="L32" s="56">
        <v>7.0000000000000001E-3</v>
      </c>
      <c r="M32">
        <f t="shared" si="5"/>
        <v>0.81598609999999994</v>
      </c>
      <c r="N32">
        <f t="shared" si="6"/>
        <v>6.6515539999999991</v>
      </c>
    </row>
    <row r="33" spans="12:14" x14ac:dyDescent="0.25">
      <c r="L33" s="55">
        <v>8.0000000000000002E-3</v>
      </c>
      <c r="M33">
        <f t="shared" si="5"/>
        <v>0.77234559999999997</v>
      </c>
      <c r="N33">
        <f t="shared" si="6"/>
        <v>7.392544</v>
      </c>
    </row>
    <row r="34" spans="12:14" ht="15.75" thickBot="1" x14ac:dyDescent="0.3">
      <c r="L34" s="56">
        <v>8.9999999999999993E-3</v>
      </c>
      <c r="M34">
        <f t="shared" si="5"/>
        <v>0.72436690000000004</v>
      </c>
      <c r="N34">
        <f t="shared" si="6"/>
        <v>8.0812259999999991</v>
      </c>
    </row>
    <row r="35" spans="12:14" x14ac:dyDescent="0.25">
      <c r="L35" s="55">
        <v>0.01</v>
      </c>
      <c r="M35">
        <f t="shared" si="5"/>
        <v>0.67205000000000004</v>
      </c>
      <c r="N35">
        <f t="shared" si="6"/>
        <v>8.7176000000000009</v>
      </c>
    </row>
    <row r="36" spans="12:14" ht="15.75" thickBot="1" x14ac:dyDescent="0.3">
      <c r="L36" s="56">
        <v>1.0999999999999999E-2</v>
      </c>
      <c r="M36">
        <f t="shared" si="5"/>
        <v>0.61539490000000008</v>
      </c>
      <c r="N36">
        <f t="shared" si="6"/>
        <v>9.3016659999999991</v>
      </c>
    </row>
    <row r="37" spans="12:14" x14ac:dyDescent="0.25">
      <c r="L37" s="55">
        <v>1.2E-2</v>
      </c>
      <c r="M37">
        <f t="shared" si="5"/>
        <v>0.55440160000000005</v>
      </c>
      <c r="N37">
        <f t="shared" si="6"/>
        <v>9.8334240000000008</v>
      </c>
    </row>
    <row r="38" spans="12:14" ht="15.75" thickBot="1" x14ac:dyDescent="0.3">
      <c r="L38" s="56">
        <v>1.2999999999999999E-2</v>
      </c>
      <c r="M38">
        <f t="shared" si="5"/>
        <v>0.48907010000000001</v>
      </c>
      <c r="N38">
        <f t="shared" si="6"/>
        <v>10.312873999999999</v>
      </c>
    </row>
    <row r="39" spans="12:14" x14ac:dyDescent="0.25">
      <c r="L39" s="55">
        <v>1.4E-2</v>
      </c>
      <c r="M39">
        <f t="shared" si="5"/>
        <v>0.41940039999999995</v>
      </c>
      <c r="N39">
        <f t="shared" si="6"/>
        <v>10.740015999999999</v>
      </c>
    </row>
    <row r="40" spans="12:14" x14ac:dyDescent="0.25">
      <c r="L40" s="56">
        <v>1.4999999999999999E-2</v>
      </c>
      <c r="M40">
        <f t="shared" si="5"/>
        <v>0.34539249999999999</v>
      </c>
      <c r="N40">
        <f t="shared" si="6"/>
        <v>11.114849999999997</v>
      </c>
    </row>
  </sheetData>
  <mergeCells count="9">
    <mergeCell ref="B16:D16"/>
    <mergeCell ref="B17:D17"/>
    <mergeCell ref="B18:D18"/>
    <mergeCell ref="B3:G3"/>
    <mergeCell ref="H3:J3"/>
    <mergeCell ref="B12:D12"/>
    <mergeCell ref="B13:D13"/>
    <mergeCell ref="B14:D14"/>
    <mergeCell ref="B15:D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Cleveland, Theodore</dc:creator>
  <cp:lastModifiedBy>Cleveland, Theodore</cp:lastModifiedBy>
  <dcterms:created xsi:type="dcterms:W3CDTF">2026-03-04T21:10:24Z</dcterms:created>
  <dcterms:modified xsi:type="dcterms:W3CDTF">2026-03-05T21:21:48Z</dcterms:modified>
</cp:coreProperties>
</file>