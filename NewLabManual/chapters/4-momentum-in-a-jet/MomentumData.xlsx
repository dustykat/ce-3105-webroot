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clevel\Desktop\"/>
    </mc:Choice>
  </mc:AlternateContent>
  <xr:revisionPtr revIDLastSave="0" documentId="8_{A82BBC0A-7DAA-4017-A9C9-C36AF6CB5635}" xr6:coauthVersionLast="47" xr6:coauthVersionMax="47" xr10:uidLastSave="{00000000-0000-0000-0000-000000000000}"/>
  <bookViews>
    <workbookView xWindow="3795" yWindow="1605" windowWidth="20565" windowHeight="13725" xr2:uid="{8C9129B3-0805-4878-9D80-B9F42ED347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F19" i="1" s="1"/>
  <c r="E20" i="1"/>
  <c r="F20" i="1" s="1"/>
  <c r="E21" i="1"/>
  <c r="F21" i="1" s="1"/>
  <c r="E22" i="1"/>
  <c r="F22" i="1" s="1"/>
  <c r="E18" i="1"/>
  <c r="F18" i="1" s="1"/>
  <c r="E11" i="1"/>
  <c r="F11" i="1" s="1"/>
  <c r="E12" i="1"/>
  <c r="F12" i="1" s="1"/>
  <c r="E13" i="1"/>
  <c r="F13" i="1" s="1"/>
  <c r="E14" i="1"/>
  <c r="F14" i="1" s="1"/>
  <c r="E10" i="1"/>
  <c r="F10" i="1" s="1"/>
</calcChain>
</file>

<file path=xl/sharedStrings.xml><?xml version="1.0" encoding="utf-8"?>
<sst xmlns="http://schemas.openxmlformats.org/spreadsheetml/2006/main" count="14" uniqueCount="8">
  <si>
    <t>Trial</t>
  </si>
  <si>
    <t>Rotameter (mm)</t>
  </si>
  <si>
    <t>Rotameter Flow Rate (L/min)</t>
  </si>
  <si>
    <t>Flat Plate Target</t>
  </si>
  <si>
    <t>Hemispherical Target</t>
  </si>
  <si>
    <t>y(m)</t>
  </si>
  <si>
    <t>H1F (L/min)</t>
  </si>
  <si>
    <t>RPi  (L/min)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</si>
</sst>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0" borderId="4" xfId="0" applyFont="1" applyBorder="1" applyAlignment="1">
      <alignment vertical="top" wrapText="1"/>
    </xf>
    <xf numFmtId="0" fontId="1" fillId="0" borderId="4" xfId="0" applyFont="1" applyBorder="1" applyAlignment="1">
      <alignment horizontal="right"/>
    </xf>
    <xf numFmtId="1" fontId="1" fillId="0" borderId="4" xfId="0" applyNumberFormat="1" applyFont="1" applyBorder="1" applyAlignment="1">
      <alignment horizontal="right"/>
    </xf>
    <xf numFmtId="0" fontId="2" fillId="2" borderId="4" xfId="0" applyFont="1" applyFill="1" applyBorder="1" applyAlignment="1">
      <alignment horizontal="right" vertical="center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5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" fontId="1" fillId="0" borderId="8" xfId="0" applyNumberFormat="1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2" fillId="2" borderId="5" xfId="0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7918-52DB-4DBD-8780-A176E5BC1E05}">
  <dimension ref="A7:F22"/>
  <sheetViews>
    <sheetView tabSelected="1" workbookViewId="0">
      <selection activeCell="H11" sqref="H11"/>
    </sheetView>
  </sheetViews>
  <sheetFormatPr defaultRowHeight="15" x14ac:dyDescent="0.25"/>
  <cols>
    <col min="2" max="2" width="5.85546875" customWidth="1"/>
    <col min="3" max="3" width="9.7109375" customWidth="1"/>
    <col min="4" max="4" width="10.7109375" customWidth="1"/>
    <col min="5" max="5" width="11.28515625" customWidth="1"/>
    <col min="6" max="6" width="18.5703125" customWidth="1"/>
  </cols>
  <sheetData>
    <row r="7" spans="1:6" ht="15.75" thickBot="1" x14ac:dyDescent="0.3"/>
    <row r="8" spans="1:6" x14ac:dyDescent="0.25">
      <c r="A8" s="2" t="s">
        <v>3</v>
      </c>
      <c r="B8" s="3"/>
      <c r="C8" s="3"/>
      <c r="D8" s="3"/>
      <c r="E8" s="3"/>
      <c r="F8" s="4"/>
    </row>
    <row r="9" spans="1:6" ht="28.5" x14ac:dyDescent="0.25">
      <c r="A9" s="9" t="s">
        <v>0</v>
      </c>
      <c r="B9" s="5" t="s">
        <v>5</v>
      </c>
      <c r="C9" s="5" t="s">
        <v>6</v>
      </c>
      <c r="D9" s="5" t="s">
        <v>7</v>
      </c>
      <c r="E9" s="5" t="s">
        <v>1</v>
      </c>
      <c r="F9" s="10" t="s">
        <v>2</v>
      </c>
    </row>
    <row r="10" spans="1:6" x14ac:dyDescent="0.25">
      <c r="A10" s="11">
        <v>1</v>
      </c>
      <c r="B10" s="6">
        <v>102</v>
      </c>
      <c r="C10" s="6">
        <v>35.9</v>
      </c>
      <c r="D10" s="6">
        <v>35.5</v>
      </c>
      <c r="E10" s="7">
        <f ca="1">(1+0.1*RAND())*C10/0.25</f>
        <v>149.30412524087927</v>
      </c>
      <c r="F10" s="12">
        <f ca="1">E10*0.25</f>
        <v>37.326031310219818</v>
      </c>
    </row>
    <row r="11" spans="1:6" x14ac:dyDescent="0.25">
      <c r="A11" s="11">
        <v>2</v>
      </c>
      <c r="B11" s="6">
        <v>86</v>
      </c>
      <c r="C11" s="6">
        <v>31.6</v>
      </c>
      <c r="D11" s="6">
        <v>28.4</v>
      </c>
      <c r="E11" s="7">
        <f t="shared" ref="E11:E14" ca="1" si="0">(1+0.1*RAND())*C11/0.25</f>
        <v>127.18145988887493</v>
      </c>
      <c r="F11" s="12">
        <f t="shared" ref="F11:F14" ca="1" si="1">E11*0.25</f>
        <v>31.795364972218731</v>
      </c>
    </row>
    <row r="12" spans="1:6" x14ac:dyDescent="0.25">
      <c r="A12" s="11">
        <v>3</v>
      </c>
      <c r="B12" s="6">
        <v>68</v>
      </c>
      <c r="C12" s="6">
        <v>27.5</v>
      </c>
      <c r="D12" s="6">
        <v>27.2</v>
      </c>
      <c r="E12" s="7">
        <f t="shared" ca="1" si="0"/>
        <v>110.96869145086906</v>
      </c>
      <c r="F12" s="12">
        <f t="shared" ca="1" si="1"/>
        <v>27.742172862717265</v>
      </c>
    </row>
    <row r="13" spans="1:6" x14ac:dyDescent="0.25">
      <c r="A13" s="11">
        <v>4</v>
      </c>
      <c r="B13" s="6">
        <v>42</v>
      </c>
      <c r="C13" s="6">
        <v>22.9</v>
      </c>
      <c r="D13" s="6">
        <v>22.6</v>
      </c>
      <c r="E13" s="7">
        <f t="shared" ca="1" si="0"/>
        <v>98.133639683884567</v>
      </c>
      <c r="F13" s="12">
        <f t="shared" ca="1" si="1"/>
        <v>24.533409920971142</v>
      </c>
    </row>
    <row r="14" spans="1:6" ht="15.75" thickBot="1" x14ac:dyDescent="0.3">
      <c r="A14" s="13">
        <v>5</v>
      </c>
      <c r="B14" s="14">
        <v>19</v>
      </c>
      <c r="C14" s="14">
        <v>17.5</v>
      </c>
      <c r="D14" s="14">
        <v>17.3</v>
      </c>
      <c r="E14" s="15">
        <f t="shared" ca="1" si="0"/>
        <v>72.695200109905201</v>
      </c>
      <c r="F14" s="16">
        <f t="shared" ca="1" si="1"/>
        <v>18.1738000274763</v>
      </c>
    </row>
    <row r="15" spans="1:6" ht="15.75" thickBot="1" x14ac:dyDescent="0.3">
      <c r="A15" s="1"/>
      <c r="B15" s="1"/>
      <c r="C15" s="1"/>
      <c r="D15" s="1"/>
      <c r="E15" s="1"/>
      <c r="F15" s="1"/>
    </row>
    <row r="16" spans="1:6" x14ac:dyDescent="0.25">
      <c r="A16" s="2" t="s">
        <v>4</v>
      </c>
      <c r="B16" s="3"/>
      <c r="C16" s="3"/>
      <c r="D16" s="3"/>
      <c r="E16" s="3"/>
      <c r="F16" s="4"/>
    </row>
    <row r="17" spans="1:6" ht="28.5" x14ac:dyDescent="0.25">
      <c r="A17" s="9" t="s">
        <v>0</v>
      </c>
      <c r="B17" s="5" t="s">
        <v>5</v>
      </c>
      <c r="C17" s="5" t="s">
        <v>6</v>
      </c>
      <c r="D17" s="5" t="s">
        <v>7</v>
      </c>
      <c r="E17" s="5" t="s">
        <v>1</v>
      </c>
      <c r="F17" s="10" t="s">
        <v>2</v>
      </c>
    </row>
    <row r="18" spans="1:6" x14ac:dyDescent="0.25">
      <c r="A18" s="17">
        <v>1</v>
      </c>
      <c r="B18" s="8">
        <v>188</v>
      </c>
      <c r="C18" s="8">
        <v>33.5</v>
      </c>
      <c r="D18" s="8">
        <v>33.1</v>
      </c>
      <c r="E18" s="7">
        <f ca="1">(1+0.1*RAND())*C18/0.25</f>
        <v>136.6417464580459</v>
      </c>
      <c r="F18" s="12">
        <f ca="1">E18*0.25</f>
        <v>34.160436614511475</v>
      </c>
    </row>
    <row r="19" spans="1:6" x14ac:dyDescent="0.25">
      <c r="A19" s="17">
        <v>2</v>
      </c>
      <c r="B19" s="8">
        <v>140</v>
      </c>
      <c r="C19" s="8">
        <v>30.1</v>
      </c>
      <c r="D19" s="8">
        <v>29.8</v>
      </c>
      <c r="E19" s="7">
        <f t="shared" ref="E19:E22" ca="1" si="2">(1+0.1*RAND())*C19/0.25</f>
        <v>130.85014463555362</v>
      </c>
      <c r="F19" s="12">
        <f t="shared" ref="F19:F22" ca="1" si="3">E19*0.25</f>
        <v>32.712536158888405</v>
      </c>
    </row>
    <row r="20" spans="1:6" x14ac:dyDescent="0.25">
      <c r="A20" s="17">
        <v>3</v>
      </c>
      <c r="B20" s="8">
        <v>90</v>
      </c>
      <c r="C20" s="8">
        <v>24.6</v>
      </c>
      <c r="D20" s="8">
        <v>24.3</v>
      </c>
      <c r="E20" s="7">
        <f t="shared" ca="1" si="2"/>
        <v>106.74418436522878</v>
      </c>
      <c r="F20" s="12">
        <f t="shared" ca="1" si="3"/>
        <v>26.686046091307194</v>
      </c>
    </row>
    <row r="21" spans="1:6" x14ac:dyDescent="0.25">
      <c r="A21" s="17">
        <v>4</v>
      </c>
      <c r="B21" s="8">
        <v>50</v>
      </c>
      <c r="C21" s="8">
        <v>18.399999999999999</v>
      </c>
      <c r="D21" s="8">
        <v>18.2</v>
      </c>
      <c r="E21" s="7">
        <f t="shared" ca="1" si="2"/>
        <v>80.727986011542484</v>
      </c>
      <c r="F21" s="12">
        <f t="shared" ca="1" si="3"/>
        <v>20.181996502885621</v>
      </c>
    </row>
    <row r="22" spans="1:6" ht="15.75" thickBot="1" x14ac:dyDescent="0.3">
      <c r="A22" s="18">
        <v>5</v>
      </c>
      <c r="B22" s="19">
        <v>20</v>
      </c>
      <c r="C22" s="19">
        <v>12.7</v>
      </c>
      <c r="D22" s="19">
        <v>12.6</v>
      </c>
      <c r="E22" s="15">
        <f t="shared" ca="1" si="2"/>
        <v>54.588219576896542</v>
      </c>
      <c r="F22" s="16">
        <f t="shared" ca="1" si="3"/>
        <v>13.647054894224135</v>
      </c>
    </row>
  </sheetData>
  <mergeCells count="2">
    <mergeCell ref="A16:F16"/>
    <mergeCell ref="A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Cleveland, Theodore</dc:creator>
  <cp:lastModifiedBy>Cleveland, Theodore</cp:lastModifiedBy>
  <dcterms:created xsi:type="dcterms:W3CDTF">2026-02-26T20:05:41Z</dcterms:created>
  <dcterms:modified xsi:type="dcterms:W3CDTF">2026-02-26T20:16:48Z</dcterms:modified>
</cp:coreProperties>
</file>