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clevel\Desktop\"/>
    </mc:Choice>
  </mc:AlternateContent>
  <xr:revisionPtr revIDLastSave="0" documentId="8_{C70D4072-0791-4411-BEAD-1DE5E1C4AC0A}" xr6:coauthVersionLast="47" xr6:coauthVersionMax="47" xr10:uidLastSave="{00000000-0000-0000-0000-000000000000}"/>
  <bookViews>
    <workbookView xWindow="3450" yWindow="1260" windowWidth="20565" windowHeight="13725" xr2:uid="{5EB6F51C-CA2C-4D52-8C1D-1115B23BA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25" i="1"/>
  <c r="N21" i="1"/>
  <c r="N17" i="1"/>
  <c r="N13" i="1"/>
  <c r="N9" i="1"/>
</calcChain>
</file>

<file path=xl/sharedStrings.xml><?xml version="1.0" encoding="utf-8"?>
<sst xmlns="http://schemas.openxmlformats.org/spreadsheetml/2006/main" count="35" uniqueCount="34">
  <si>
    <t>Trial</t>
  </si>
  <si>
    <t>D (m)</t>
  </si>
  <si>
    <t>A (m)</t>
  </si>
  <si>
    <t>L (m)</t>
  </si>
  <si>
    <t>N/A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</si>
  <si>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</si>
  <si>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</si>
  <si>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</si>
  <si>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</si>
  <si>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</si>
  <si>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</si>
  <si>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</si>
  <si>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</si>
  <si>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</si>
  <si>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</si>
  <si>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</si>
  <si>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</si>
  <si>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</si>
  <si>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</si>
  <si>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</si>
  <si>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fill time (s)</t>
  </si>
  <si>
    <t>Q (L/s)</t>
  </si>
  <si>
    <t>U= Q/A (m/s)</t>
  </si>
  <si>
    <r>
      <rPr>
        <b/>
        <sz val="10"/>
        <color theme="1"/>
        <rFont val="Symbol"/>
        <family val="1"/>
        <charset val="2"/>
      </rPr>
      <t>D</t>
    </r>
    <r>
      <rPr>
        <b/>
        <sz val="10"/>
        <color theme="1"/>
        <rFont val="Segoe UI"/>
        <family val="2"/>
      </rPr>
      <t>h (m)</t>
    </r>
  </si>
  <si>
    <r>
      <t>h</t>
    </r>
    <r>
      <rPr>
        <b/>
        <vertAlign val="subscript"/>
        <sz val="10"/>
        <color theme="1"/>
        <rFont val="Segoe UI"/>
        <family val="2"/>
      </rPr>
      <t>1</t>
    </r>
    <r>
      <rPr>
        <b/>
        <sz val="10"/>
        <color theme="1"/>
        <rFont val="Segoe UI"/>
        <family val="2"/>
      </rPr>
      <t> (mm)</t>
    </r>
  </si>
  <si>
    <r>
      <t>h</t>
    </r>
    <r>
      <rPr>
        <b/>
        <vertAlign val="subscript"/>
        <sz val="10"/>
        <color theme="1"/>
        <rFont val="Segoe UI"/>
        <family val="2"/>
      </rPr>
      <t>2</t>
    </r>
    <r>
      <rPr>
        <b/>
        <sz val="10"/>
        <color theme="1"/>
        <rFont val="Segoe UI"/>
        <family val="2"/>
      </rPr>
      <t> (mm)</t>
    </r>
  </si>
  <si>
    <r>
      <rPr>
        <b/>
        <sz val="10"/>
        <color theme="1"/>
        <rFont val="Symbol"/>
        <family val="1"/>
        <charset val="2"/>
      </rPr>
      <t>D</t>
    </r>
    <r>
      <rPr>
        <b/>
        <sz val="10"/>
        <color theme="1"/>
        <rFont val="Segoe UI"/>
        <family val="2"/>
      </rPr>
      <t>h/L</t>
    </r>
  </si>
  <si>
    <r>
      <t>log(</t>
    </r>
    <r>
      <rPr>
        <b/>
        <sz val="10"/>
        <color theme="1"/>
        <rFont val="Symbol"/>
        <family val="1"/>
        <charset val="2"/>
      </rPr>
      <t>D</t>
    </r>
    <r>
      <rPr>
        <b/>
        <sz val="10"/>
        <color theme="1"/>
        <rFont val="Segoe UI"/>
        <family val="2"/>
      </rPr>
      <t>h/L)</t>
    </r>
  </si>
  <si>
    <r>
      <t>Re</t>
    </r>
    <r>
      <rPr>
        <b/>
        <vertAlign val="subscript"/>
        <sz val="10"/>
        <color theme="1"/>
        <rFont val="Segoe UI"/>
        <family val="2"/>
      </rPr>
      <t>D</t>
    </r>
  </si>
  <si>
    <r>
      <t>f=</t>
    </r>
    <r>
      <rPr>
        <b/>
        <sz val="10"/>
        <color theme="1"/>
        <rFont val="Symbol"/>
        <family val="1"/>
        <charset val="2"/>
      </rPr>
      <t>D</t>
    </r>
    <r>
      <rPr>
        <b/>
        <sz val="10"/>
        <color theme="1"/>
        <rFont val="Segoe UI"/>
        <family val="2"/>
      </rPr>
      <t>h(D/L)(2g/V</t>
    </r>
    <r>
      <rPr>
        <b/>
        <vertAlign val="superscript"/>
        <sz val="10"/>
        <color theme="1"/>
        <rFont val="Segoe UI"/>
        <family val="2"/>
      </rPr>
      <t>2</t>
    </r>
    <r>
      <rPr>
        <b/>
        <sz val="10"/>
        <color theme="1"/>
        <rFont val="Segoe UI"/>
        <family val="2"/>
      </rPr>
      <t>)</t>
    </r>
  </si>
  <si>
    <r>
      <t>f=64/Re</t>
    </r>
    <r>
      <rPr>
        <b/>
        <vertAlign val="subscript"/>
        <sz val="10"/>
        <color theme="1"/>
        <rFont val="Segoe UI"/>
        <family val="2"/>
      </rPr>
      <t>D</t>
    </r>
  </si>
  <si>
    <t>Class</t>
  </si>
  <si>
    <t>-inf</t>
  </si>
  <si>
    <t>+inf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</si>
</sst>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Symbol"/>
      <family val="1"/>
      <charset val="2"/>
    </font>
    <font>
      <b/>
      <sz val="10"/>
      <color theme="1"/>
      <name val="Segoe UI"/>
      <family val="1"/>
      <charset val="2"/>
    </font>
    <font>
      <b/>
      <vertAlign val="subscript"/>
      <sz val="10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11" fontId="1" fillId="2" borderId="0" xfId="0" applyNumberFormat="1" applyFont="1" applyFill="1" applyAlignment="1">
      <alignment horizontal="right"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11" fontId="7" fillId="2" borderId="1" xfId="0" applyNumberFormat="1" applyFont="1" applyFill="1" applyBorder="1" applyAlignment="1">
      <alignment horizontal="right" vertical="center" wrapText="1"/>
    </xf>
    <xf numFmtId="0" fontId="7" fillId="2" borderId="1" xfId="0" quotePrefix="1" applyFont="1" applyFill="1" applyBorder="1" applyAlignment="1">
      <alignment horizontal="right" vertical="center" wrapText="1"/>
    </xf>
    <xf numFmtId="0" fontId="8" fillId="0" borderId="1" xfId="0" applyFont="1" applyBorder="1"/>
    <xf numFmtId="0" fontId="8" fillId="3" borderId="1" xfId="0" applyFont="1" applyFill="1" applyBorder="1"/>
    <xf numFmtId="0" fontId="8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right" vertical="center" wrapText="1"/>
    </xf>
    <xf numFmtId="11" fontId="7" fillId="4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A8DA-E723-440C-BF4E-C8171B77BAA2}">
  <dimension ref="A1:P29"/>
  <sheetViews>
    <sheetView tabSelected="1" workbookViewId="0">
      <selection activeCell="A8" sqref="A8:P29"/>
    </sheetView>
  </sheetViews>
  <sheetFormatPr defaultRowHeight="15"/>
  <cols>
    <col min="1" max="1" width="6.42578125" customWidth="1"/>
    <col min="2" max="2" width="12.7109375" customWidth="1"/>
    <col min="3" max="3" width="8.85546875" customWidth="1"/>
    <col min="4" max="4" width="7.5703125" customWidth="1"/>
    <col min="6" max="6" width="14.28515625" customWidth="1"/>
    <col min="7" max="7" width="9.5703125" customWidth="1"/>
    <col min="8" max="8" width="9.42578125" customWidth="1"/>
    <col min="9" max="9" width="6.85546875" customWidth="1"/>
    <col min="10" max="10" width="7.140625" customWidth="1"/>
    <col min="11" max="11" width="7.42578125" customWidth="1"/>
    <col min="12" max="12" width="11.85546875" customWidth="1"/>
    <col min="13" max="13" width="7.5703125" customWidth="1"/>
    <col min="15" max="15" width="17.28515625" customWidth="1"/>
    <col min="16" max="16" width="13.85546875" customWidth="1"/>
  </cols>
  <sheetData>
    <row r="1" spans="1:16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/>
      <c r="C2" s="3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3"/>
      <c r="B3" s="3"/>
      <c r="C3" s="3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3"/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3"/>
      <c r="B5" s="3"/>
      <c r="C5" s="3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3"/>
      <c r="B6" s="3"/>
      <c r="C6" s="3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3"/>
      <c r="B7" s="3"/>
      <c r="C7" s="3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s="6" customFormat="1" ht="20.25" customHeight="1">
      <c r="A8" s="7" t="s">
        <v>0</v>
      </c>
      <c r="B8" s="7" t="s">
        <v>20</v>
      </c>
      <c r="C8" s="7" t="s">
        <v>21</v>
      </c>
      <c r="D8" s="8" t="s">
        <v>1</v>
      </c>
      <c r="E8" s="8" t="s">
        <v>2</v>
      </c>
      <c r="F8" s="8" t="s">
        <v>22</v>
      </c>
      <c r="G8" s="8" t="s">
        <v>24</v>
      </c>
      <c r="H8" s="8" t="s">
        <v>25</v>
      </c>
      <c r="I8" s="9" t="s">
        <v>23</v>
      </c>
      <c r="J8" s="8" t="s">
        <v>3</v>
      </c>
      <c r="K8" s="9" t="s">
        <v>26</v>
      </c>
      <c r="L8" s="8" t="s">
        <v>27</v>
      </c>
      <c r="M8" s="8" t="s">
        <v>28</v>
      </c>
      <c r="N8" s="8" t="s">
        <v>31</v>
      </c>
      <c r="O8" s="10" t="s">
        <v>29</v>
      </c>
      <c r="P8" s="8" t="s">
        <v>30</v>
      </c>
    </row>
    <row r="9" spans="1:16">
      <c r="A9" s="11">
        <v>0</v>
      </c>
      <c r="B9" s="11" t="s">
        <v>4</v>
      </c>
      <c r="C9" s="11">
        <v>0</v>
      </c>
      <c r="D9" s="12">
        <v>3.0000000000000001E-3</v>
      </c>
      <c r="E9" s="13">
        <v>7.0690000000000004E-6</v>
      </c>
      <c r="F9" s="12">
        <v>0</v>
      </c>
      <c r="G9" s="12">
        <v>276</v>
      </c>
      <c r="H9" s="12">
        <v>276</v>
      </c>
      <c r="I9" s="12">
        <v>0</v>
      </c>
      <c r="J9" s="12">
        <v>0.52400000000000002</v>
      </c>
      <c r="K9" s="12">
        <v>0</v>
      </c>
      <c r="L9" s="14" t="s">
        <v>32</v>
      </c>
      <c r="M9" s="12">
        <v>0</v>
      </c>
      <c r="N9" s="12" t="str">
        <f>IF(M9&lt;4000,"Lambinar","Transitional or Turbulent")</f>
        <v>Lambinar</v>
      </c>
      <c r="O9" s="14" t="s">
        <v>33</v>
      </c>
      <c r="P9" s="14" t="s">
        <v>33</v>
      </c>
    </row>
    <row r="10" spans="1:16">
      <c r="A10" s="12" t="s">
        <v>5</v>
      </c>
      <c r="B10" s="15">
        <v>51.02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12" t="s">
        <v>6</v>
      </c>
      <c r="B11" s="15">
        <v>52.31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>
      <c r="A12" s="12" t="s">
        <v>7</v>
      </c>
      <c r="B12" s="15">
        <v>52.49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>
      <c r="A13" s="17">
        <v>1</v>
      </c>
      <c r="B13" s="18">
        <v>51.94</v>
      </c>
      <c r="C13" s="18">
        <v>1.5399999999999999E-3</v>
      </c>
      <c r="D13" s="19">
        <v>3.0000000000000001E-3</v>
      </c>
      <c r="E13" s="20">
        <v>7.0690000000000004E-6</v>
      </c>
      <c r="F13" s="19">
        <v>0.218</v>
      </c>
      <c r="G13" s="19">
        <v>293</v>
      </c>
      <c r="H13" s="19">
        <v>258</v>
      </c>
      <c r="I13" s="19">
        <v>3.5000000000000003E-2</v>
      </c>
      <c r="J13" s="19">
        <v>0.52400000000000002</v>
      </c>
      <c r="K13" s="19">
        <v>6.7000000000000004E-2</v>
      </c>
      <c r="L13" s="19">
        <v>-1.175</v>
      </c>
      <c r="M13" s="19">
        <v>573.70000000000005</v>
      </c>
      <c r="N13" s="19" t="str">
        <f>IF(M13&lt;4000,"Lambinar","Transitional or Turbulent")</f>
        <v>Lambinar</v>
      </c>
      <c r="O13" s="19">
        <v>8.3000000000000004E-2</v>
      </c>
      <c r="P13" s="19">
        <v>0.111</v>
      </c>
    </row>
    <row r="14" spans="1:16">
      <c r="A14" s="12" t="s">
        <v>8</v>
      </c>
      <c r="B14" s="21">
        <v>34.71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>
      <c r="A15" s="12" t="s">
        <v>9</v>
      </c>
      <c r="B15" s="21">
        <v>35.89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>
      <c r="A16" s="12" t="s">
        <v>10</v>
      </c>
      <c r="B16" s="21">
        <v>35.119999999999997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>
      <c r="A17" s="17">
        <v>2</v>
      </c>
      <c r="B17" s="18">
        <v>35.24</v>
      </c>
      <c r="C17" s="18">
        <v>2.2699999999999999E-3</v>
      </c>
      <c r="D17" s="19">
        <v>3.0000000000000001E-3</v>
      </c>
      <c r="E17" s="20">
        <v>7.0690000000000004E-6</v>
      </c>
      <c r="F17" s="19">
        <v>0.32100000000000001</v>
      </c>
      <c r="G17" s="19">
        <v>302</v>
      </c>
      <c r="H17" s="19">
        <v>245</v>
      </c>
      <c r="I17" s="19">
        <v>5.7000000000000002E-2</v>
      </c>
      <c r="J17" s="19">
        <v>0.52400000000000002</v>
      </c>
      <c r="K17" s="19">
        <v>0.109</v>
      </c>
      <c r="L17" s="19">
        <v>-0.96399999999999997</v>
      </c>
      <c r="M17" s="19">
        <v>844.7</v>
      </c>
      <c r="N17" s="19" t="str">
        <f>IF(M17&lt;4000,"Lambinar","Transitional or Turbulent")</f>
        <v>Lambinar</v>
      </c>
      <c r="O17" s="19">
        <v>6.2E-2</v>
      </c>
      <c r="P17" s="19">
        <v>7.4999999999999997E-2</v>
      </c>
    </row>
    <row r="18" spans="1:16">
      <c r="A18" s="12" t="s">
        <v>11</v>
      </c>
      <c r="B18" s="21">
        <v>19.88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>
      <c r="A19" s="12" t="s">
        <v>12</v>
      </c>
      <c r="B19" s="21">
        <v>21.31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>
      <c r="A20" s="12" t="s">
        <v>13</v>
      </c>
      <c r="B20" s="21">
        <v>20.99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>
      <c r="A21" s="17">
        <v>3</v>
      </c>
      <c r="B21" s="18">
        <v>20.73</v>
      </c>
      <c r="C21" s="18">
        <v>3.8600000000000001E-3</v>
      </c>
      <c r="D21" s="19">
        <v>3.0000000000000001E-3</v>
      </c>
      <c r="E21" s="20">
        <v>7.0690000000000004E-6</v>
      </c>
      <c r="F21" s="19">
        <v>0.54600000000000004</v>
      </c>
      <c r="G21" s="19">
        <v>322</v>
      </c>
      <c r="H21" s="19">
        <v>219</v>
      </c>
      <c r="I21" s="19">
        <v>0.10299999999999999</v>
      </c>
      <c r="J21" s="19">
        <v>0.52400000000000002</v>
      </c>
      <c r="K21" s="19">
        <v>0.19600000000000001</v>
      </c>
      <c r="L21" s="19">
        <v>-0.70699999999999996</v>
      </c>
      <c r="M21" s="19">
        <v>1436.8</v>
      </c>
      <c r="N21" s="19" t="str">
        <f>IF(M21&lt;4000,"Lambinar","Transitional or Turbulent")</f>
        <v>Lambinar</v>
      </c>
      <c r="O21" s="19">
        <v>3.9E-2</v>
      </c>
      <c r="P21" s="19">
        <v>4.3999999999999997E-2</v>
      </c>
    </row>
    <row r="22" spans="1:16">
      <c r="A22" s="12" t="s">
        <v>14</v>
      </c>
      <c r="B22" s="21">
        <v>14.62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>
      <c r="A23" s="12" t="s">
        <v>15</v>
      </c>
      <c r="B23" s="21">
        <v>15.98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>
      <c r="A24" s="12" t="s">
        <v>16</v>
      </c>
      <c r="B24" s="21">
        <v>15.18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17">
        <v>4</v>
      </c>
      <c r="B25" s="18">
        <v>15.26</v>
      </c>
      <c r="C25" s="18">
        <v>5.2399999999999999E-3</v>
      </c>
      <c r="D25" s="19">
        <v>3.0000000000000001E-3</v>
      </c>
      <c r="E25" s="20">
        <v>7.0690000000000004E-6</v>
      </c>
      <c r="F25" s="19">
        <v>0.74199999999999999</v>
      </c>
      <c r="G25" s="19">
        <v>382</v>
      </c>
      <c r="H25" s="19">
        <v>181</v>
      </c>
      <c r="I25" s="19">
        <v>0.20100000000000001</v>
      </c>
      <c r="J25" s="19">
        <v>0.52400000000000002</v>
      </c>
      <c r="K25" s="19">
        <v>0.38300000000000001</v>
      </c>
      <c r="L25" s="19">
        <v>-0.41599999999999998</v>
      </c>
      <c r="M25" s="19">
        <v>1952.6</v>
      </c>
      <c r="N25" s="19" t="str">
        <f>IF(M25&lt;4000,"Lambinar","Transitional or Turbulent")</f>
        <v>Lambinar</v>
      </c>
      <c r="O25" s="19">
        <v>4.1000000000000002E-2</v>
      </c>
      <c r="P25" s="19">
        <v>3.3000000000000002E-2</v>
      </c>
    </row>
    <row r="26" spans="1:16">
      <c r="A26" s="12" t="s">
        <v>17</v>
      </c>
      <c r="B26" s="21">
        <v>13.92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12" t="s">
        <v>18</v>
      </c>
      <c r="B27" s="21">
        <v>14.87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12" t="s">
        <v>19</v>
      </c>
      <c r="B28" s="21">
        <v>14.59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17">
        <v>5</v>
      </c>
      <c r="B29" s="18">
        <v>14.46</v>
      </c>
      <c r="C29" s="18">
        <v>5.5300000000000002E-3</v>
      </c>
      <c r="D29" s="19">
        <v>3.0000000000000001E-3</v>
      </c>
      <c r="E29" s="20">
        <v>7.0690000000000004E-6</v>
      </c>
      <c r="F29" s="19">
        <v>0.78400000000000003</v>
      </c>
      <c r="G29" s="19">
        <v>365</v>
      </c>
      <c r="H29" s="19">
        <v>166</v>
      </c>
      <c r="I29" s="19">
        <v>0.19900000000000001</v>
      </c>
      <c r="J29" s="19">
        <v>0.52400000000000002</v>
      </c>
      <c r="K29" s="19">
        <v>0.38</v>
      </c>
      <c r="L29" s="19">
        <v>-0.42099999999999999</v>
      </c>
      <c r="M29" s="19">
        <v>2063.1999999999998</v>
      </c>
      <c r="N29" s="19" t="str">
        <f>IF(M29&lt;4000,"Lambinar","Transitional or Turbulent")</f>
        <v>Lambinar</v>
      </c>
      <c r="O29" s="19">
        <v>3.5999999999999997E-2</v>
      </c>
      <c r="P29" s="19">
        <v>3.1E-2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2026-02-25T15:52:00Z</dcterms:created>
  <dcterms:modified xsi:type="dcterms:W3CDTF">2026-02-25T17:09:59Z</dcterms:modified>
</cp:coreProperties>
</file>